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4e2e545105847b9b/文档/"/>
    </mc:Choice>
  </mc:AlternateContent>
  <xr:revisionPtr revIDLastSave="9" documentId="8_{0560FB9B-EEBC-4455-A4C0-EF0EB7295486}" xr6:coauthVersionLast="47" xr6:coauthVersionMax="47" xr10:uidLastSave="{29FEE305-5725-4124-9DE4-0D087F7A0A1C}"/>
  <bookViews>
    <workbookView xWindow="-108" yWindow="-108" windowWidth="23256" windowHeight="13896" activeTab="1" xr2:uid="{00000000-000D-0000-FFFF-FFFF00000000}"/>
  </bookViews>
  <sheets>
    <sheet name="ET-1B" sheetId="2" r:id="rId1"/>
    <sheet name="GRADES" sheetId="7" r:id="rId2"/>
  </sheets>
  <externalReferences>
    <externalReference r:id="rId3"/>
  </externalReferences>
  <definedNames>
    <definedName name="TRANSMUTATION_TABLE">'[1]DO NOT DELETE'!$G$2:$J$42</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6" i="7" l="1"/>
  <c r="AA36" i="7"/>
  <c r="Z36" i="7"/>
  <c r="Y36" i="7"/>
  <c r="X36" i="7"/>
  <c r="W36" i="7"/>
  <c r="V36" i="7"/>
  <c r="U36" i="7"/>
  <c r="T36" i="7"/>
  <c r="S37" i="7"/>
  <c r="S38" i="7"/>
  <c r="S39" i="7"/>
  <c r="S40" i="7"/>
  <c r="S41" i="7"/>
  <c r="S42" i="7"/>
  <c r="S43" i="7"/>
  <c r="S44" i="7"/>
  <c r="S45" i="7"/>
  <c r="S46" i="7"/>
  <c r="S47" i="7"/>
  <c r="S48" i="7"/>
  <c r="S49" i="7"/>
  <c r="S50" i="7"/>
  <c r="S36" i="7"/>
  <c r="S34" i="7"/>
  <c r="AB30" i="7"/>
  <c r="AB31" i="7"/>
  <c r="AB32" i="7"/>
  <c r="AB33" i="7"/>
  <c r="AB34" i="7"/>
  <c r="AA30" i="7"/>
  <c r="AA31" i="7"/>
  <c r="AA32" i="7"/>
  <c r="AA33" i="7"/>
  <c r="AA34" i="7"/>
  <c r="Z33" i="7"/>
  <c r="Z31" i="7"/>
  <c r="Z30" i="7"/>
  <c r="Z32" i="7"/>
  <c r="Z34" i="7"/>
  <c r="Y30" i="7"/>
  <c r="Y31" i="7"/>
  <c r="Y32" i="7"/>
  <c r="Y33" i="7"/>
  <c r="Y34" i="7"/>
  <c r="X30" i="7"/>
  <c r="X31" i="7"/>
  <c r="X32" i="7"/>
  <c r="X33" i="7"/>
  <c r="X34" i="7"/>
  <c r="W30" i="7"/>
  <c r="W31" i="7"/>
  <c r="W32" i="7"/>
  <c r="W33" i="7"/>
  <c r="W34" i="7"/>
  <c r="AB29" i="7"/>
  <c r="AA29" i="7"/>
  <c r="Z29" i="7"/>
  <c r="Y29" i="7"/>
  <c r="X29" i="7"/>
  <c r="W29" i="7"/>
  <c r="AB13" i="7"/>
  <c r="AB14" i="7"/>
  <c r="AB15" i="7"/>
  <c r="AB16" i="7"/>
  <c r="AB17" i="7"/>
  <c r="AB18" i="7"/>
  <c r="AB19" i="7"/>
  <c r="AB20" i="7"/>
  <c r="AB21" i="7"/>
  <c r="AB22" i="7"/>
  <c r="AB23" i="7"/>
  <c r="AB24" i="7"/>
  <c r="AB25" i="7"/>
  <c r="AB26" i="7"/>
  <c r="AB27" i="7"/>
  <c r="AB28" i="7"/>
  <c r="AA13" i="7"/>
  <c r="AA14" i="7"/>
  <c r="AA15" i="7"/>
  <c r="AA16" i="7"/>
  <c r="AA17" i="7"/>
  <c r="AA18" i="7"/>
  <c r="AA19" i="7"/>
  <c r="AA20" i="7"/>
  <c r="AA21" i="7"/>
  <c r="AA22" i="7"/>
  <c r="AA23" i="7"/>
  <c r="AA24" i="7"/>
  <c r="AA25" i="7"/>
  <c r="AA26" i="7"/>
  <c r="AA27" i="7"/>
  <c r="AA28" i="7"/>
  <c r="AB12" i="7"/>
  <c r="AA12" i="7"/>
  <c r="Z13" i="7"/>
  <c r="Z14" i="7"/>
  <c r="Z15" i="7"/>
  <c r="Z16" i="7"/>
  <c r="Z17" i="7"/>
  <c r="Z18" i="7"/>
  <c r="Z19" i="7"/>
  <c r="Z20" i="7"/>
  <c r="Z21" i="7"/>
  <c r="Z22" i="7"/>
  <c r="Z23" i="7"/>
  <c r="Z24" i="7"/>
  <c r="Z25" i="7"/>
  <c r="Z26" i="7"/>
  <c r="Z27" i="7"/>
  <c r="Z28" i="7"/>
  <c r="Y13" i="7"/>
  <c r="Y14" i="7"/>
  <c r="Y15" i="7"/>
  <c r="Y16" i="7"/>
  <c r="Y17" i="7"/>
  <c r="Y18" i="7"/>
  <c r="Y19" i="7"/>
  <c r="Y20" i="7"/>
  <c r="Y21" i="7"/>
  <c r="Y22" i="7"/>
  <c r="Y23" i="7"/>
  <c r="Y24" i="7"/>
  <c r="Y25" i="7"/>
  <c r="Y26" i="7"/>
  <c r="Y27" i="7"/>
  <c r="Y28" i="7"/>
  <c r="X13" i="7"/>
  <c r="X14" i="7"/>
  <c r="X15" i="7"/>
  <c r="X16" i="7"/>
  <c r="X17" i="7"/>
  <c r="X18" i="7"/>
  <c r="X19" i="7"/>
  <c r="X20" i="7"/>
  <c r="X21" i="7"/>
  <c r="X22" i="7"/>
  <c r="X23" i="7"/>
  <c r="X24" i="7"/>
  <c r="X25" i="7"/>
  <c r="X26" i="7"/>
  <c r="X27" i="7"/>
  <c r="X28" i="7"/>
  <c r="W13" i="7"/>
  <c r="W14" i="7"/>
  <c r="W15" i="7"/>
  <c r="W16" i="7"/>
  <c r="W17" i="7"/>
  <c r="W18" i="7"/>
  <c r="W19" i="7"/>
  <c r="W20" i="7"/>
  <c r="W21" i="7"/>
  <c r="W22" i="7"/>
  <c r="W23" i="7"/>
  <c r="W24" i="7"/>
  <c r="W25" i="7"/>
  <c r="W26" i="7"/>
  <c r="W27" i="7"/>
  <c r="W28" i="7"/>
  <c r="Z12" i="7"/>
  <c r="Y12" i="7"/>
  <c r="X12" i="7"/>
  <c r="W12" i="7"/>
  <c r="V30" i="7"/>
  <c r="V31" i="7"/>
  <c r="V32" i="7"/>
  <c r="V33" i="7"/>
  <c r="V34" i="7"/>
  <c r="V29" i="7"/>
  <c r="T30" i="7"/>
  <c r="T31" i="7"/>
  <c r="T32" i="7"/>
  <c r="T33" i="7"/>
  <c r="T34" i="7"/>
  <c r="S30" i="7"/>
  <c r="S31" i="7"/>
  <c r="S32" i="7"/>
  <c r="S33" i="7"/>
  <c r="U30" i="7"/>
  <c r="U31" i="7"/>
  <c r="U32" i="7"/>
  <c r="U33" i="7"/>
  <c r="U34" i="7"/>
  <c r="U29" i="7"/>
  <c r="V28" i="7"/>
  <c r="U28" i="7"/>
  <c r="T28" i="7"/>
  <c r="S28" i="7"/>
  <c r="V25" i="7"/>
  <c r="V26" i="7"/>
  <c r="V27" i="7"/>
  <c r="U25" i="7"/>
  <c r="U26" i="7"/>
  <c r="U27" i="7"/>
  <c r="T25" i="7"/>
  <c r="T26" i="7"/>
  <c r="T27" i="7"/>
  <c r="S25" i="7"/>
  <c r="S26" i="7"/>
  <c r="S27" i="7"/>
  <c r="T29" i="7"/>
  <c r="S29" i="7"/>
  <c r="V24" i="7"/>
  <c r="U24" i="7"/>
  <c r="T24" i="7"/>
  <c r="S24" i="7"/>
  <c r="V20" i="7"/>
  <c r="V21" i="7"/>
  <c r="V22" i="7"/>
  <c r="V23" i="7"/>
  <c r="U20" i="7"/>
  <c r="U21" i="7"/>
  <c r="U22" i="7"/>
  <c r="U23" i="7"/>
  <c r="T20" i="7"/>
  <c r="T21" i="7"/>
  <c r="T22" i="7"/>
  <c r="T23" i="7"/>
  <c r="S20" i="7"/>
  <c r="S21" i="7"/>
  <c r="S22" i="7"/>
  <c r="S23" i="7"/>
  <c r="V16" i="7"/>
  <c r="V17" i="7"/>
  <c r="V18" i="7"/>
  <c r="V19" i="7"/>
  <c r="U16" i="7"/>
  <c r="U17" i="7"/>
  <c r="U18" i="7"/>
  <c r="U19" i="7"/>
  <c r="T16" i="7"/>
  <c r="T17" i="7"/>
  <c r="T18" i="7"/>
  <c r="T19" i="7"/>
  <c r="S16" i="7"/>
  <c r="S17" i="7"/>
  <c r="S18" i="7"/>
  <c r="S19" i="7"/>
  <c r="V14" i="7"/>
  <c r="V15" i="7"/>
  <c r="U14" i="7"/>
  <c r="U15" i="7"/>
  <c r="T14" i="7"/>
  <c r="T15" i="7"/>
  <c r="S14" i="7"/>
  <c r="S15" i="7"/>
  <c r="U13" i="7"/>
  <c r="T13" i="7"/>
  <c r="S13" i="7"/>
  <c r="V13" i="7"/>
  <c r="V12" i="7"/>
  <c r="U12" i="7"/>
  <c r="T12" i="7"/>
  <c r="S12" i="7"/>
  <c r="AJ116" i="7" l="1"/>
  <c r="AI116" i="7"/>
  <c r="AG116" i="7"/>
  <c r="AH116" i="7" s="1"/>
  <c r="AC116" i="7"/>
  <c r="AD116" i="7" s="1"/>
  <c r="AE116" i="7" s="1"/>
  <c r="P116" i="7"/>
  <c r="Q116" i="7" s="1"/>
  <c r="R116" i="7" s="1"/>
  <c r="B116" i="7"/>
  <c r="AJ115" i="7"/>
  <c r="AI115" i="7"/>
  <c r="AG115" i="7"/>
  <c r="AH115" i="7" s="1"/>
  <c r="AC115" i="7"/>
  <c r="AD115" i="7" s="1"/>
  <c r="AE115" i="7" s="1"/>
  <c r="P115" i="7"/>
  <c r="Q115" i="7" s="1"/>
  <c r="R115" i="7" s="1"/>
  <c r="B115" i="7"/>
  <c r="AJ114" i="7"/>
  <c r="AI114" i="7"/>
  <c r="AG114" i="7"/>
  <c r="AH114" i="7" s="1"/>
  <c r="AC114" i="7"/>
  <c r="AD114" i="7" s="1"/>
  <c r="AE114" i="7" s="1"/>
  <c r="P114" i="7"/>
  <c r="Q114" i="7" s="1"/>
  <c r="R114" i="7" s="1"/>
  <c r="B114" i="7"/>
  <c r="AJ113" i="7"/>
  <c r="AI113" i="7"/>
  <c r="AG113" i="7"/>
  <c r="AH113" i="7" s="1"/>
  <c r="AC113" i="7"/>
  <c r="AD113" i="7" s="1"/>
  <c r="AE113" i="7" s="1"/>
  <c r="P113" i="7"/>
  <c r="Q113" i="7" s="1"/>
  <c r="R113" i="7" s="1"/>
  <c r="B113" i="7"/>
  <c r="AJ112" i="7"/>
  <c r="AI112" i="7"/>
  <c r="AG112" i="7"/>
  <c r="AH112" i="7" s="1"/>
  <c r="AC112" i="7"/>
  <c r="AD112" i="7" s="1"/>
  <c r="AE112" i="7" s="1"/>
  <c r="P112" i="7"/>
  <c r="Q112" i="7" s="1"/>
  <c r="R112" i="7" s="1"/>
  <c r="B112" i="7"/>
  <c r="AJ111" i="7"/>
  <c r="AI111" i="7"/>
  <c r="AG111" i="7"/>
  <c r="AH111" i="7" s="1"/>
  <c r="AC111" i="7"/>
  <c r="AD111" i="7" s="1"/>
  <c r="AE111" i="7" s="1"/>
  <c r="P111" i="7"/>
  <c r="Q111" i="7" s="1"/>
  <c r="R111" i="7" s="1"/>
  <c r="B111" i="7"/>
  <c r="AJ110" i="7"/>
  <c r="AI110" i="7"/>
  <c r="AG110" i="7"/>
  <c r="AH110" i="7" s="1"/>
  <c r="AC110" i="7"/>
  <c r="AD110" i="7" s="1"/>
  <c r="AE110" i="7" s="1"/>
  <c r="P110" i="7"/>
  <c r="Q110" i="7" s="1"/>
  <c r="R110" i="7" s="1"/>
  <c r="B110" i="7"/>
  <c r="AJ109" i="7"/>
  <c r="AI109" i="7"/>
  <c r="AG109" i="7"/>
  <c r="AH109" i="7" s="1"/>
  <c r="AC109" i="7"/>
  <c r="AD109" i="7" s="1"/>
  <c r="AE109" i="7" s="1"/>
  <c r="P109" i="7"/>
  <c r="Q109" i="7" s="1"/>
  <c r="R109" i="7" s="1"/>
  <c r="B109" i="7"/>
  <c r="AJ108" i="7"/>
  <c r="AI108" i="7"/>
  <c r="AG108" i="7"/>
  <c r="AH108" i="7" s="1"/>
  <c r="AC108" i="7"/>
  <c r="AD108" i="7" s="1"/>
  <c r="AE108" i="7" s="1"/>
  <c r="P108" i="7"/>
  <c r="Q108" i="7" s="1"/>
  <c r="R108" i="7" s="1"/>
  <c r="B108" i="7"/>
  <c r="AJ107" i="7"/>
  <c r="AI107" i="7"/>
  <c r="AG107" i="7"/>
  <c r="AH107" i="7" s="1"/>
  <c r="AC107" i="7"/>
  <c r="AD107" i="7" s="1"/>
  <c r="AE107" i="7" s="1"/>
  <c r="P107" i="7"/>
  <c r="Q107" i="7" s="1"/>
  <c r="R107" i="7" s="1"/>
  <c r="B107" i="7"/>
  <c r="AJ106" i="7"/>
  <c r="AI106" i="7"/>
  <c r="AG106" i="7"/>
  <c r="AH106" i="7" s="1"/>
  <c r="AC106" i="7"/>
  <c r="AD106" i="7" s="1"/>
  <c r="AE106" i="7" s="1"/>
  <c r="P106" i="7"/>
  <c r="Q106" i="7" s="1"/>
  <c r="R106" i="7" s="1"/>
  <c r="B106" i="7"/>
  <c r="AJ105" i="7"/>
  <c r="AI105" i="7"/>
  <c r="AG105" i="7"/>
  <c r="AH105" i="7" s="1"/>
  <c r="AC105" i="7"/>
  <c r="AD105" i="7" s="1"/>
  <c r="AE105" i="7" s="1"/>
  <c r="P105" i="7"/>
  <c r="Q105" i="7" s="1"/>
  <c r="R105" i="7" s="1"/>
  <c r="B105" i="7"/>
  <c r="AJ104" i="7"/>
  <c r="AI104" i="7"/>
  <c r="AG104" i="7"/>
  <c r="AH104" i="7" s="1"/>
  <c r="AC104" i="7"/>
  <c r="AD104" i="7" s="1"/>
  <c r="AE104" i="7" s="1"/>
  <c r="P104" i="7"/>
  <c r="Q104" i="7" s="1"/>
  <c r="R104" i="7" s="1"/>
  <c r="B104" i="7"/>
  <c r="AJ103" i="7"/>
  <c r="AI103" i="7"/>
  <c r="AG103" i="7"/>
  <c r="AH103" i="7" s="1"/>
  <c r="AC103" i="7"/>
  <c r="AD103" i="7" s="1"/>
  <c r="AE103" i="7" s="1"/>
  <c r="P103" i="7"/>
  <c r="Q103" i="7" s="1"/>
  <c r="R103" i="7" s="1"/>
  <c r="B103" i="7"/>
  <c r="AJ102" i="7"/>
  <c r="AI102" i="7"/>
  <c r="AG102" i="7"/>
  <c r="AH102" i="7" s="1"/>
  <c r="AC102" i="7"/>
  <c r="AD102" i="7" s="1"/>
  <c r="AE102" i="7" s="1"/>
  <c r="P102" i="7"/>
  <c r="Q102" i="7" s="1"/>
  <c r="R102" i="7" s="1"/>
  <c r="B102" i="7"/>
  <c r="AJ101" i="7"/>
  <c r="AI101" i="7"/>
  <c r="AG101" i="7"/>
  <c r="AH101" i="7" s="1"/>
  <c r="AC101" i="7"/>
  <c r="AD101" i="7" s="1"/>
  <c r="AE101" i="7" s="1"/>
  <c r="P101" i="7"/>
  <c r="Q101" i="7" s="1"/>
  <c r="R101" i="7" s="1"/>
  <c r="B101" i="7"/>
  <c r="AJ100" i="7"/>
  <c r="AI100" i="7"/>
  <c r="AG100" i="7"/>
  <c r="AH100" i="7" s="1"/>
  <c r="AC100" i="7"/>
  <c r="AD100" i="7" s="1"/>
  <c r="AE100" i="7" s="1"/>
  <c r="P100" i="7"/>
  <c r="Q100" i="7" s="1"/>
  <c r="R100" i="7" s="1"/>
  <c r="B100" i="7"/>
  <c r="AJ99" i="7"/>
  <c r="AI99" i="7"/>
  <c r="AG99" i="7"/>
  <c r="AH99" i="7" s="1"/>
  <c r="AC99" i="7"/>
  <c r="AD99" i="7" s="1"/>
  <c r="AE99" i="7" s="1"/>
  <c r="P99" i="7"/>
  <c r="Q99" i="7" s="1"/>
  <c r="R99" i="7" s="1"/>
  <c r="B99" i="7"/>
  <c r="AJ98" i="7"/>
  <c r="AI98" i="7"/>
  <c r="AG98" i="7"/>
  <c r="AH98" i="7" s="1"/>
  <c r="AC98" i="7"/>
  <c r="AD98" i="7" s="1"/>
  <c r="AE98" i="7" s="1"/>
  <c r="P98" i="7"/>
  <c r="Q98" i="7" s="1"/>
  <c r="R98" i="7" s="1"/>
  <c r="B98" i="7"/>
  <c r="AJ97" i="7"/>
  <c r="AI97" i="7"/>
  <c r="AG97" i="7"/>
  <c r="AH97" i="7" s="1"/>
  <c r="AC97" i="7"/>
  <c r="AD97" i="7" s="1"/>
  <c r="AE97" i="7" s="1"/>
  <c r="P97" i="7"/>
  <c r="Q97" i="7" s="1"/>
  <c r="R97" i="7" s="1"/>
  <c r="B97" i="7"/>
  <c r="AJ96" i="7"/>
  <c r="AI96" i="7"/>
  <c r="AG96" i="7"/>
  <c r="AH96" i="7" s="1"/>
  <c r="AC96" i="7"/>
  <c r="AD96" i="7" s="1"/>
  <c r="AE96" i="7" s="1"/>
  <c r="P96" i="7"/>
  <c r="Q96" i="7" s="1"/>
  <c r="R96" i="7" s="1"/>
  <c r="B96" i="7"/>
  <c r="AJ95" i="7"/>
  <c r="AI95" i="7"/>
  <c r="AG95" i="7"/>
  <c r="AH95" i="7" s="1"/>
  <c r="AC95" i="7"/>
  <c r="AD95" i="7" s="1"/>
  <c r="AE95" i="7" s="1"/>
  <c r="P95" i="7"/>
  <c r="Q95" i="7" s="1"/>
  <c r="R95" i="7" s="1"/>
  <c r="B95" i="7"/>
  <c r="AJ94" i="7"/>
  <c r="AI94" i="7"/>
  <c r="AG94" i="7"/>
  <c r="AH94" i="7" s="1"/>
  <c r="AC94" i="7"/>
  <c r="AD94" i="7" s="1"/>
  <c r="AE94" i="7" s="1"/>
  <c r="P94" i="7"/>
  <c r="Q94" i="7" s="1"/>
  <c r="R94" i="7" s="1"/>
  <c r="B94" i="7"/>
  <c r="AJ93" i="7"/>
  <c r="AI93" i="7"/>
  <c r="AG93" i="7"/>
  <c r="AH93" i="7" s="1"/>
  <c r="AC93" i="7"/>
  <c r="AD93" i="7" s="1"/>
  <c r="AE93" i="7" s="1"/>
  <c r="P93" i="7"/>
  <c r="Q93" i="7" s="1"/>
  <c r="R93" i="7" s="1"/>
  <c r="B93" i="7"/>
  <c r="AJ92" i="7"/>
  <c r="AI92" i="7"/>
  <c r="AG92" i="7"/>
  <c r="AH92" i="7" s="1"/>
  <c r="AC92" i="7"/>
  <c r="AD92" i="7" s="1"/>
  <c r="AE92" i="7" s="1"/>
  <c r="P92" i="7"/>
  <c r="Q92" i="7" s="1"/>
  <c r="R92" i="7" s="1"/>
  <c r="B92" i="7"/>
  <c r="AJ91" i="7"/>
  <c r="AI91" i="7"/>
  <c r="AG91" i="7"/>
  <c r="AH91" i="7" s="1"/>
  <c r="AC91" i="7"/>
  <c r="AD91" i="7" s="1"/>
  <c r="AE91" i="7" s="1"/>
  <c r="P91" i="7"/>
  <c r="Q91" i="7" s="1"/>
  <c r="R91" i="7" s="1"/>
  <c r="B91" i="7"/>
  <c r="AJ90" i="7"/>
  <c r="AI90" i="7"/>
  <c r="AG90" i="7"/>
  <c r="AH90" i="7" s="1"/>
  <c r="AC90" i="7"/>
  <c r="AD90" i="7" s="1"/>
  <c r="AE90" i="7" s="1"/>
  <c r="P90" i="7"/>
  <c r="Q90" i="7" s="1"/>
  <c r="R90" i="7" s="1"/>
  <c r="B90" i="7"/>
  <c r="AJ89" i="7"/>
  <c r="AI89" i="7"/>
  <c r="AG89" i="7"/>
  <c r="AH89" i="7" s="1"/>
  <c r="AC89" i="7"/>
  <c r="AD89" i="7" s="1"/>
  <c r="AE89" i="7" s="1"/>
  <c r="P89" i="7"/>
  <c r="Q89" i="7" s="1"/>
  <c r="R89" i="7" s="1"/>
  <c r="B89" i="7"/>
  <c r="AJ88" i="7"/>
  <c r="AI88" i="7"/>
  <c r="AG88" i="7"/>
  <c r="AH88" i="7" s="1"/>
  <c r="AC88" i="7"/>
  <c r="AD88" i="7" s="1"/>
  <c r="AE88" i="7" s="1"/>
  <c r="P88" i="7"/>
  <c r="Q88" i="7" s="1"/>
  <c r="R88" i="7" s="1"/>
  <c r="B88" i="7"/>
  <c r="AJ87" i="7"/>
  <c r="AI87" i="7"/>
  <c r="AG87" i="7"/>
  <c r="AH87" i="7" s="1"/>
  <c r="AC87" i="7"/>
  <c r="AD87" i="7" s="1"/>
  <c r="AE87" i="7" s="1"/>
  <c r="P87" i="7"/>
  <c r="Q87" i="7" s="1"/>
  <c r="R87" i="7" s="1"/>
  <c r="B87" i="7"/>
  <c r="AJ86" i="7"/>
  <c r="AI86" i="7"/>
  <c r="AG86" i="7"/>
  <c r="AH86" i="7" s="1"/>
  <c r="AC86" i="7"/>
  <c r="AD86" i="7" s="1"/>
  <c r="AE86" i="7" s="1"/>
  <c r="P86" i="7"/>
  <c r="Q86" i="7" s="1"/>
  <c r="R86" i="7" s="1"/>
  <c r="B86" i="7"/>
  <c r="AJ85" i="7"/>
  <c r="AI85" i="7"/>
  <c r="AG85" i="7"/>
  <c r="AH85" i="7" s="1"/>
  <c r="AC85" i="7"/>
  <c r="AD85" i="7" s="1"/>
  <c r="AE85" i="7" s="1"/>
  <c r="P85" i="7"/>
  <c r="Q85" i="7" s="1"/>
  <c r="R85" i="7" s="1"/>
  <c r="B85" i="7"/>
  <c r="AJ84" i="7"/>
  <c r="AI84" i="7"/>
  <c r="AG84" i="7"/>
  <c r="AH84" i="7" s="1"/>
  <c r="AC84" i="7"/>
  <c r="AD84" i="7" s="1"/>
  <c r="AE84" i="7" s="1"/>
  <c r="P84" i="7"/>
  <c r="Q84" i="7" s="1"/>
  <c r="R84" i="7" s="1"/>
  <c r="B84" i="7"/>
  <c r="AJ83" i="7"/>
  <c r="AI83" i="7"/>
  <c r="AG83" i="7"/>
  <c r="AH83" i="7" s="1"/>
  <c r="AC83" i="7"/>
  <c r="AD83" i="7" s="1"/>
  <c r="AE83" i="7" s="1"/>
  <c r="P83" i="7"/>
  <c r="Q83" i="7" s="1"/>
  <c r="R83" i="7" s="1"/>
  <c r="B83" i="7"/>
  <c r="AJ82" i="7"/>
  <c r="AI82" i="7"/>
  <c r="AG82" i="7"/>
  <c r="AH82" i="7" s="1"/>
  <c r="AC82" i="7"/>
  <c r="AD82" i="7" s="1"/>
  <c r="AE82" i="7" s="1"/>
  <c r="P82" i="7"/>
  <c r="Q82" i="7" s="1"/>
  <c r="R82" i="7" s="1"/>
  <c r="B82" i="7"/>
  <c r="AJ81" i="7"/>
  <c r="AI81" i="7"/>
  <c r="AG81" i="7"/>
  <c r="AH81" i="7" s="1"/>
  <c r="AC81" i="7"/>
  <c r="AD81" i="7" s="1"/>
  <c r="AE81" i="7" s="1"/>
  <c r="P81" i="7"/>
  <c r="Q81" i="7" s="1"/>
  <c r="R81" i="7" s="1"/>
  <c r="B81" i="7"/>
  <c r="AJ80" i="7"/>
  <c r="AI80" i="7"/>
  <c r="AG80" i="7"/>
  <c r="AH80" i="7" s="1"/>
  <c r="AC80" i="7"/>
  <c r="AD80" i="7" s="1"/>
  <c r="AE80" i="7" s="1"/>
  <c r="P80" i="7"/>
  <c r="Q80" i="7" s="1"/>
  <c r="R80" i="7" s="1"/>
  <c r="B80" i="7"/>
  <c r="AJ79" i="7"/>
  <c r="AI79" i="7"/>
  <c r="AG79" i="7"/>
  <c r="AH79" i="7" s="1"/>
  <c r="AC79" i="7"/>
  <c r="AD79" i="7" s="1"/>
  <c r="AE79" i="7" s="1"/>
  <c r="P79" i="7"/>
  <c r="Q79" i="7" s="1"/>
  <c r="R79" i="7" s="1"/>
  <c r="B79" i="7"/>
  <c r="AJ78" i="7"/>
  <c r="AI78" i="7"/>
  <c r="AG78" i="7"/>
  <c r="AH78" i="7" s="1"/>
  <c r="AC78" i="7"/>
  <c r="AD78" i="7" s="1"/>
  <c r="AE78" i="7" s="1"/>
  <c r="P78" i="7"/>
  <c r="Q78" i="7" s="1"/>
  <c r="R78" i="7" s="1"/>
  <c r="B78" i="7"/>
  <c r="AJ77" i="7"/>
  <c r="AI77" i="7"/>
  <c r="AG77" i="7"/>
  <c r="AH77" i="7" s="1"/>
  <c r="AC77" i="7"/>
  <c r="AD77" i="7" s="1"/>
  <c r="AE77" i="7" s="1"/>
  <c r="P77" i="7"/>
  <c r="Q77" i="7" s="1"/>
  <c r="R77" i="7" s="1"/>
  <c r="B77" i="7"/>
  <c r="AJ76" i="7"/>
  <c r="AI76" i="7"/>
  <c r="AG76" i="7"/>
  <c r="AH76" i="7" s="1"/>
  <c r="AC76" i="7"/>
  <c r="AD76" i="7" s="1"/>
  <c r="AE76" i="7" s="1"/>
  <c r="P76" i="7"/>
  <c r="Q76" i="7" s="1"/>
  <c r="R76" i="7" s="1"/>
  <c r="B76" i="7"/>
  <c r="AJ75" i="7"/>
  <c r="AI75" i="7"/>
  <c r="AG75" i="7"/>
  <c r="AH75" i="7" s="1"/>
  <c r="AC75" i="7"/>
  <c r="AD75" i="7" s="1"/>
  <c r="AE75" i="7" s="1"/>
  <c r="P75" i="7"/>
  <c r="Q75" i="7" s="1"/>
  <c r="R75" i="7" s="1"/>
  <c r="B75" i="7"/>
  <c r="AJ74" i="7"/>
  <c r="AI74" i="7"/>
  <c r="AG74" i="7"/>
  <c r="AH74" i="7" s="1"/>
  <c r="AC74" i="7"/>
  <c r="AD74" i="7" s="1"/>
  <c r="AE74" i="7" s="1"/>
  <c r="P74" i="7"/>
  <c r="Q74" i="7" s="1"/>
  <c r="R74" i="7" s="1"/>
  <c r="B74" i="7"/>
  <c r="AJ73" i="7"/>
  <c r="AI73" i="7"/>
  <c r="AG73" i="7"/>
  <c r="AH73" i="7" s="1"/>
  <c r="AC73" i="7"/>
  <c r="AD73" i="7" s="1"/>
  <c r="AE73" i="7" s="1"/>
  <c r="P73" i="7"/>
  <c r="Q73" i="7" s="1"/>
  <c r="R73" i="7" s="1"/>
  <c r="B73" i="7"/>
  <c r="AJ72" i="7"/>
  <c r="AI72" i="7"/>
  <c r="AG72" i="7"/>
  <c r="AH72" i="7" s="1"/>
  <c r="AC72" i="7"/>
  <c r="AD72" i="7" s="1"/>
  <c r="AE72" i="7" s="1"/>
  <c r="P72" i="7"/>
  <c r="Q72" i="7" s="1"/>
  <c r="R72" i="7" s="1"/>
  <c r="B72" i="7"/>
  <c r="AJ71" i="7"/>
  <c r="AI71" i="7"/>
  <c r="AG71" i="7"/>
  <c r="AH71" i="7" s="1"/>
  <c r="AC71" i="7"/>
  <c r="AD71" i="7" s="1"/>
  <c r="AE71" i="7" s="1"/>
  <c r="P71" i="7"/>
  <c r="Q71" i="7" s="1"/>
  <c r="R71" i="7" s="1"/>
  <c r="B71" i="7"/>
  <c r="AJ70" i="7"/>
  <c r="AI70" i="7"/>
  <c r="AG70" i="7"/>
  <c r="AH70" i="7" s="1"/>
  <c r="AC70" i="7"/>
  <c r="AD70" i="7" s="1"/>
  <c r="AE70" i="7" s="1"/>
  <c r="P70" i="7"/>
  <c r="Q70" i="7" s="1"/>
  <c r="R70" i="7" s="1"/>
  <c r="B70" i="7"/>
  <c r="AJ69" i="7"/>
  <c r="AI69" i="7"/>
  <c r="AG69" i="7"/>
  <c r="AH69" i="7" s="1"/>
  <c r="AC69" i="7"/>
  <c r="AD69" i="7" s="1"/>
  <c r="AE69" i="7" s="1"/>
  <c r="P69" i="7"/>
  <c r="Q69" i="7" s="1"/>
  <c r="R69" i="7" s="1"/>
  <c r="B69" i="7"/>
  <c r="AJ68" i="7"/>
  <c r="AI68" i="7"/>
  <c r="AG68" i="7"/>
  <c r="AH68" i="7" s="1"/>
  <c r="AC68" i="7"/>
  <c r="AD68" i="7" s="1"/>
  <c r="AE68" i="7" s="1"/>
  <c r="P68" i="7"/>
  <c r="Q68" i="7" s="1"/>
  <c r="R68" i="7" s="1"/>
  <c r="B68" i="7"/>
  <c r="AJ67" i="7"/>
  <c r="AI67" i="7"/>
  <c r="AG67" i="7"/>
  <c r="AH67" i="7" s="1"/>
  <c r="AC67" i="7"/>
  <c r="AD67" i="7" s="1"/>
  <c r="AE67" i="7" s="1"/>
  <c r="P67" i="7"/>
  <c r="Q67" i="7" s="1"/>
  <c r="R67" i="7" s="1"/>
  <c r="B67" i="7"/>
  <c r="AJ65" i="7"/>
  <c r="AI65" i="7"/>
  <c r="AG65" i="7"/>
  <c r="AH65" i="7" s="1"/>
  <c r="AC65" i="7"/>
  <c r="AD65" i="7" s="1"/>
  <c r="AE65" i="7" s="1"/>
  <c r="P65" i="7"/>
  <c r="Q65" i="7" s="1"/>
  <c r="R65" i="7" s="1"/>
  <c r="B65" i="7"/>
  <c r="AJ64" i="7"/>
  <c r="AI64" i="7"/>
  <c r="AG64" i="7"/>
  <c r="AH64" i="7" s="1"/>
  <c r="AC64" i="7"/>
  <c r="AD64" i="7" s="1"/>
  <c r="AE64" i="7" s="1"/>
  <c r="P64" i="7"/>
  <c r="Q64" i="7" s="1"/>
  <c r="R64" i="7" s="1"/>
  <c r="B64" i="7"/>
  <c r="AJ63" i="7"/>
  <c r="AI63" i="7"/>
  <c r="AG63" i="7"/>
  <c r="AH63" i="7" s="1"/>
  <c r="AC63" i="7"/>
  <c r="AD63" i="7" s="1"/>
  <c r="AE63" i="7" s="1"/>
  <c r="P63" i="7"/>
  <c r="Q63" i="7" s="1"/>
  <c r="R63" i="7" s="1"/>
  <c r="B63" i="7"/>
  <c r="AJ62" i="7"/>
  <c r="AI62" i="7"/>
  <c r="AG62" i="7"/>
  <c r="AH62" i="7" s="1"/>
  <c r="AC62" i="7"/>
  <c r="AD62" i="7" s="1"/>
  <c r="AE62" i="7" s="1"/>
  <c r="P62" i="7"/>
  <c r="Q62" i="7" s="1"/>
  <c r="R62" i="7" s="1"/>
  <c r="B62" i="7"/>
  <c r="AG50" i="7"/>
  <c r="AH50" i="7" s="1"/>
  <c r="AC50" i="7"/>
  <c r="P50" i="7"/>
  <c r="AG49" i="7"/>
  <c r="AH49" i="7" s="1"/>
  <c r="AC49" i="7"/>
  <c r="P49" i="7"/>
  <c r="AG48" i="7"/>
  <c r="AH48" i="7" s="1"/>
  <c r="AC48" i="7"/>
  <c r="P48" i="7"/>
  <c r="AG47" i="7"/>
  <c r="AH47" i="7" s="1"/>
  <c r="AC47" i="7"/>
  <c r="P47" i="7"/>
  <c r="AG46" i="7"/>
  <c r="AH46" i="7" s="1"/>
  <c r="AC46" i="7"/>
  <c r="P46" i="7"/>
  <c r="AG45" i="7"/>
  <c r="AH45" i="7" s="1"/>
  <c r="AC45" i="7"/>
  <c r="P45" i="7"/>
  <c r="AG44" i="7"/>
  <c r="AH44" i="7" s="1"/>
  <c r="AC44" i="7"/>
  <c r="P44" i="7"/>
  <c r="AG43" i="7"/>
  <c r="AH43" i="7" s="1"/>
  <c r="AC43" i="7"/>
  <c r="P43" i="7"/>
  <c r="AG42" i="7"/>
  <c r="AH42" i="7" s="1"/>
  <c r="AC42" i="7"/>
  <c r="P42" i="7"/>
  <c r="AG41" i="7"/>
  <c r="AH41" i="7" s="1"/>
  <c r="AC41" i="7"/>
  <c r="P41" i="7"/>
  <c r="AG40" i="7"/>
  <c r="AH40" i="7" s="1"/>
  <c r="AC40" i="7"/>
  <c r="P40" i="7"/>
  <c r="AG39" i="7"/>
  <c r="AH39" i="7" s="1"/>
  <c r="AC39" i="7"/>
  <c r="P39" i="7"/>
  <c r="AG38" i="7"/>
  <c r="AH38" i="7" s="1"/>
  <c r="AC38" i="7"/>
  <c r="P38" i="7"/>
  <c r="AG37" i="7"/>
  <c r="AH37" i="7" s="1"/>
  <c r="AC37" i="7"/>
  <c r="P37" i="7"/>
  <c r="AG36" i="7"/>
  <c r="AH36" i="7" s="1"/>
  <c r="AC36" i="7"/>
  <c r="P36" i="7"/>
  <c r="AG34" i="7"/>
  <c r="AH34" i="7" s="1"/>
  <c r="AC34" i="7"/>
  <c r="P34" i="7"/>
  <c r="AG33" i="7"/>
  <c r="AH33" i="7" s="1"/>
  <c r="AC33" i="7"/>
  <c r="P33" i="7"/>
  <c r="AG32" i="7"/>
  <c r="AH32" i="7" s="1"/>
  <c r="AC32" i="7"/>
  <c r="P32" i="7"/>
  <c r="AG31" i="7"/>
  <c r="AH31" i="7" s="1"/>
  <c r="AC31" i="7"/>
  <c r="P31" i="7"/>
  <c r="AG30" i="7"/>
  <c r="AH30" i="7" s="1"/>
  <c r="AC30" i="7"/>
  <c r="P30" i="7"/>
  <c r="AG29" i="7"/>
  <c r="AH29" i="7" s="1"/>
  <c r="AC29" i="7"/>
  <c r="P29" i="7"/>
  <c r="AG28" i="7"/>
  <c r="AH28" i="7" s="1"/>
  <c r="AC28" i="7"/>
  <c r="P28" i="7"/>
  <c r="AG27" i="7"/>
  <c r="AH27" i="7" s="1"/>
  <c r="AC27" i="7"/>
  <c r="P27" i="7"/>
  <c r="AG26" i="7"/>
  <c r="AH26" i="7" s="1"/>
  <c r="AC26" i="7"/>
  <c r="P26" i="7"/>
  <c r="AG25" i="7"/>
  <c r="AH25" i="7" s="1"/>
  <c r="AC25" i="7"/>
  <c r="P25" i="7"/>
  <c r="AG24" i="7"/>
  <c r="AH24" i="7" s="1"/>
  <c r="AC24" i="7"/>
  <c r="P24" i="7"/>
  <c r="AG23" i="7"/>
  <c r="AH23" i="7" s="1"/>
  <c r="AC23" i="7"/>
  <c r="P23" i="7"/>
  <c r="AG22" i="7"/>
  <c r="AH22" i="7" s="1"/>
  <c r="AC22" i="7"/>
  <c r="P22" i="7"/>
  <c r="AG21" i="7"/>
  <c r="AH21" i="7" s="1"/>
  <c r="AC21" i="7"/>
  <c r="P21" i="7"/>
  <c r="AG20" i="7"/>
  <c r="AH20" i="7" s="1"/>
  <c r="AC20" i="7"/>
  <c r="P20" i="7"/>
  <c r="AG19" i="7"/>
  <c r="AH19" i="7" s="1"/>
  <c r="AC19" i="7"/>
  <c r="P19" i="7"/>
  <c r="AG18" i="7"/>
  <c r="AH18" i="7" s="1"/>
  <c r="AC18" i="7"/>
  <c r="P18" i="7"/>
  <c r="AG17" i="7"/>
  <c r="AH17" i="7" s="1"/>
  <c r="AC17" i="7"/>
  <c r="P17" i="7"/>
  <c r="AG16" i="7"/>
  <c r="AH16" i="7" s="1"/>
  <c r="AC16" i="7"/>
  <c r="P16" i="7"/>
  <c r="AG15" i="7"/>
  <c r="AH15" i="7" s="1"/>
  <c r="AC15" i="7"/>
  <c r="P15" i="7"/>
  <c r="AG14" i="7"/>
  <c r="AH14" i="7" s="1"/>
  <c r="AC14" i="7"/>
  <c r="P14" i="7"/>
  <c r="AG13" i="7"/>
  <c r="AH13" i="7" s="1"/>
  <c r="AC13" i="7"/>
  <c r="P13" i="7"/>
  <c r="AG12" i="7"/>
  <c r="AH12" i="7" s="1"/>
  <c r="P12" i="7"/>
  <c r="AC10" i="7"/>
  <c r="P10" i="7"/>
  <c r="AD25" i="7" l="1"/>
  <c r="AE25" i="7" s="1"/>
  <c r="Q15" i="7"/>
  <c r="R15" i="7" s="1"/>
  <c r="Q19" i="7"/>
  <c r="R19" i="7" s="1"/>
  <c r="Q23" i="7"/>
  <c r="R23" i="7" s="1"/>
  <c r="AD15" i="7"/>
  <c r="AE15" i="7" s="1"/>
  <c r="AD19" i="7"/>
  <c r="AE19" i="7" s="1"/>
  <c r="AD23" i="7"/>
  <c r="AE23" i="7" s="1"/>
  <c r="Q27" i="7"/>
  <c r="R27" i="7" s="1"/>
  <c r="Q31" i="7"/>
  <c r="R31" i="7" s="1"/>
  <c r="Q36" i="7"/>
  <c r="R36" i="7" s="1"/>
  <c r="Q40" i="7"/>
  <c r="R40" i="7" s="1"/>
  <c r="Q48" i="7"/>
  <c r="R48" i="7" s="1"/>
  <c r="AI48" i="7" s="1"/>
  <c r="AJ48" i="7" s="1"/>
  <c r="AD27" i="7"/>
  <c r="AE27" i="7" s="1"/>
  <c r="AD31" i="7"/>
  <c r="AE31" i="7" s="1"/>
  <c r="AD36" i="7"/>
  <c r="AE36" i="7" s="1"/>
  <c r="AD40" i="7"/>
  <c r="AE40" i="7" s="1"/>
  <c r="AD44" i="7"/>
  <c r="AE44" i="7" s="1"/>
  <c r="AD48" i="7"/>
  <c r="AE48" i="7" s="1"/>
  <c r="Q16" i="7"/>
  <c r="R16" i="7" s="1"/>
  <c r="Q20" i="7"/>
  <c r="R20" i="7" s="1"/>
  <c r="Q24" i="7"/>
  <c r="R24" i="7" s="1"/>
  <c r="AD16" i="7"/>
  <c r="AE16" i="7" s="1"/>
  <c r="AD20" i="7"/>
  <c r="AE20" i="7" s="1"/>
  <c r="AD24" i="7"/>
  <c r="AE24" i="7" s="1"/>
  <c r="Q41" i="7"/>
  <c r="R41" i="7" s="1"/>
  <c r="Q45" i="7"/>
  <c r="R45" i="7" s="1"/>
  <c r="Q13" i="7"/>
  <c r="R13" i="7" s="1"/>
  <c r="AD32" i="7"/>
  <c r="AE32" i="7" s="1"/>
  <c r="AD37" i="7"/>
  <c r="AE37" i="7" s="1"/>
  <c r="AD41" i="7"/>
  <c r="AE41" i="7" s="1"/>
  <c r="AD45" i="7"/>
  <c r="AE45" i="7" s="1"/>
  <c r="AD49" i="7"/>
  <c r="AE49" i="7" s="1"/>
  <c r="AD13" i="7"/>
  <c r="AE13" i="7" s="1"/>
  <c r="Q17" i="7"/>
  <c r="R17" i="7" s="1"/>
  <c r="Q21" i="7"/>
  <c r="R21" i="7" s="1"/>
  <c r="Q25" i="7"/>
  <c r="R25" i="7" s="1"/>
  <c r="AD17" i="7"/>
  <c r="AE17" i="7" s="1"/>
  <c r="AD21" i="7"/>
  <c r="AE21" i="7" s="1"/>
  <c r="Q29" i="7"/>
  <c r="R29" i="7" s="1"/>
  <c r="Q33" i="7"/>
  <c r="R33" i="7" s="1"/>
  <c r="Q38" i="7"/>
  <c r="R38" i="7" s="1"/>
  <c r="Q42" i="7"/>
  <c r="R42" i="7" s="1"/>
  <c r="Q46" i="7"/>
  <c r="R46" i="7" s="1"/>
  <c r="Q50" i="7"/>
  <c r="R50" i="7" s="1"/>
  <c r="Q14" i="7"/>
  <c r="R14" i="7" s="1"/>
  <c r="AD29" i="7"/>
  <c r="AE29" i="7" s="1"/>
  <c r="AD33" i="7"/>
  <c r="AE33" i="7" s="1"/>
  <c r="AD38" i="7"/>
  <c r="AE38" i="7" s="1"/>
  <c r="AD42" i="7"/>
  <c r="AE42" i="7" s="1"/>
  <c r="AD46" i="7"/>
  <c r="AE46" i="7" s="1"/>
  <c r="AD14" i="7"/>
  <c r="AE14" i="7" s="1"/>
  <c r="Q18" i="7"/>
  <c r="R18" i="7" s="1"/>
  <c r="AD22" i="7"/>
  <c r="AE22" i="7" s="1"/>
  <c r="Q26" i="7"/>
  <c r="R26" i="7" s="1"/>
  <c r="Q30" i="7"/>
  <c r="R30" i="7" s="1"/>
  <c r="Q34" i="7"/>
  <c r="R34" i="7" s="1"/>
  <c r="Q39" i="7"/>
  <c r="R39" i="7" s="1"/>
  <c r="Q43" i="7"/>
  <c r="R43" i="7" s="1"/>
  <c r="AD30" i="7"/>
  <c r="AE30" i="7" s="1"/>
  <c r="AD34" i="7"/>
  <c r="AE34" i="7" s="1"/>
  <c r="AD39" i="7"/>
  <c r="AE39" i="7" s="1"/>
  <c r="AD43" i="7"/>
  <c r="AE43" i="7" s="1"/>
  <c r="AD18" i="7"/>
  <c r="AE18" i="7" s="1"/>
  <c r="Q28" i="7"/>
  <c r="R28" i="7" s="1"/>
  <c r="Q47" i="7"/>
  <c r="R47" i="7" s="1"/>
  <c r="AD50" i="7"/>
  <c r="AE50" i="7" s="1"/>
  <c r="Q22" i="7"/>
  <c r="R22" i="7" s="1"/>
  <c r="AI22" i="7" s="1"/>
  <c r="AJ22" i="7" s="1"/>
  <c r="AD28" i="7"/>
  <c r="AE28" i="7" s="1"/>
  <c r="Q32" i="7"/>
  <c r="R32" i="7" s="1"/>
  <c r="Q37" i="7"/>
  <c r="R37" i="7" s="1"/>
  <c r="AI37" i="7" s="1"/>
  <c r="AJ37" i="7" s="1"/>
  <c r="Q44" i="7"/>
  <c r="R44" i="7" s="1"/>
  <c r="AD47" i="7"/>
  <c r="AE47" i="7" s="1"/>
  <c r="Q49" i="7"/>
  <c r="R49" i="7" s="1"/>
  <c r="Q12" i="7"/>
  <c r="R12" i="7" s="1"/>
  <c r="AD26" i="7"/>
  <c r="AE26" i="7" s="1"/>
  <c r="AI44" i="7" l="1"/>
  <c r="AJ44" i="7" s="1"/>
  <c r="AI40" i="7"/>
  <c r="AJ40" i="7" s="1"/>
  <c r="AI32" i="7"/>
  <c r="AJ32" i="7" s="1"/>
  <c r="AI14" i="7"/>
  <c r="AJ14" i="7" s="1"/>
  <c r="AI13" i="7"/>
  <c r="AJ13" i="7" s="1"/>
  <c r="AI21" i="7"/>
  <c r="AJ21" i="7" s="1"/>
  <c r="AI43" i="7"/>
  <c r="AJ43" i="7" s="1"/>
  <c r="AI25" i="7"/>
  <c r="AJ25" i="7" s="1"/>
  <c r="AI36" i="7"/>
  <c r="AJ36" i="7" s="1"/>
  <c r="AI46" i="7"/>
  <c r="AJ46" i="7" s="1"/>
  <c r="AI19" i="7"/>
  <c r="AJ19" i="7" s="1"/>
  <c r="AI17" i="7"/>
  <c r="AJ17" i="7" s="1"/>
  <c r="AI39" i="7"/>
  <c r="AJ39" i="7" s="1"/>
  <c r="AI31" i="7"/>
  <c r="AJ31" i="7" s="1"/>
  <c r="AI47" i="7"/>
  <c r="AJ47" i="7" s="1"/>
  <c r="AI42" i="7"/>
  <c r="AJ42" i="7" s="1"/>
  <c r="AI50" i="7"/>
  <c r="AJ50" i="7" s="1"/>
  <c r="AI30" i="7"/>
  <c r="AJ30" i="7" s="1"/>
  <c r="AI49" i="7"/>
  <c r="AJ49" i="7" s="1"/>
  <c r="AI28" i="7"/>
  <c r="AJ28" i="7" s="1"/>
  <c r="AI18" i="7"/>
  <c r="AJ18" i="7" s="1"/>
  <c r="AI38" i="7"/>
  <c r="AJ38" i="7" s="1"/>
  <c r="AI24" i="7"/>
  <c r="AJ24" i="7" s="1"/>
  <c r="AI34" i="7"/>
  <c r="AJ34" i="7" s="1"/>
  <c r="AI20" i="7"/>
  <c r="AJ20" i="7" s="1"/>
  <c r="AI16" i="7"/>
  <c r="AJ16" i="7" s="1"/>
  <c r="AI27" i="7"/>
  <c r="AJ27" i="7" s="1"/>
  <c r="AI33" i="7"/>
  <c r="AJ33" i="7" s="1"/>
  <c r="AI29" i="7"/>
  <c r="AJ29" i="7" s="1"/>
  <c r="AI23" i="7"/>
  <c r="AJ23" i="7" s="1"/>
  <c r="AI26" i="7"/>
  <c r="AJ26" i="7" s="1"/>
  <c r="AI45" i="7"/>
  <c r="AJ45" i="7" s="1"/>
  <c r="AI41" i="7"/>
  <c r="AJ41" i="7" s="1"/>
  <c r="AI15" i="7"/>
  <c r="AJ15" i="7" s="1"/>
  <c r="AC12" i="7"/>
  <c r="AD12" i="7" s="1"/>
  <c r="AE12" i="7" s="1"/>
  <c r="AI12" i="7" s="1"/>
  <c r="AJ12" i="7" s="1"/>
</calcChain>
</file>

<file path=xl/sharedStrings.xml><?xml version="1.0" encoding="utf-8"?>
<sst xmlns="http://schemas.openxmlformats.org/spreadsheetml/2006/main" count="150" uniqueCount="123">
  <si>
    <t>Precious-Zennah</t>
  </si>
  <si>
    <t>Abobo</t>
  </si>
  <si>
    <t>Jackie Lyn</t>
  </si>
  <si>
    <t>Agustin</t>
  </si>
  <si>
    <t>Christian Edward</t>
  </si>
  <si>
    <t>Barrozo</t>
  </si>
  <si>
    <t>Joshua</t>
  </si>
  <si>
    <t>Benitez</t>
  </si>
  <si>
    <t>Jiro Miguel</t>
  </si>
  <si>
    <t>Briñes</t>
  </si>
  <si>
    <t>Bryan Jerick</t>
  </si>
  <si>
    <t>Busante</t>
  </si>
  <si>
    <t>Rachel</t>
  </si>
  <si>
    <t>Dajuya</t>
  </si>
  <si>
    <t>Daniel</t>
  </si>
  <si>
    <t>Diestro</t>
  </si>
  <si>
    <t>Michaella</t>
  </si>
  <si>
    <t>Dionisio</t>
  </si>
  <si>
    <t>Riellyn Joy</t>
  </si>
  <si>
    <t>Dovales</t>
  </si>
  <si>
    <t>Kirk Benedict</t>
  </si>
  <si>
    <t>Eugenio</t>
  </si>
  <si>
    <t>Reign</t>
  </si>
  <si>
    <t>Francisco</t>
  </si>
  <si>
    <t>Rednash</t>
  </si>
  <si>
    <t>Herrera</t>
  </si>
  <si>
    <t>Rhamil</t>
  </si>
  <si>
    <t>Matuguina</t>
  </si>
  <si>
    <t>Daniell Joseph</t>
  </si>
  <si>
    <t>Reyes</t>
  </si>
  <si>
    <t>Karyl</t>
  </si>
  <si>
    <t>Rollon</t>
  </si>
  <si>
    <t>Joshrie</t>
  </si>
  <si>
    <t>Sacdalan</t>
  </si>
  <si>
    <t>Jethro</t>
  </si>
  <si>
    <t>Sangco</t>
  </si>
  <si>
    <t>Ronald Aheron</t>
  </si>
  <si>
    <t>Ubalde</t>
  </si>
  <si>
    <t>Name</t>
  </si>
  <si>
    <t>FEB.05</t>
  </si>
  <si>
    <t>FEB.06</t>
  </si>
  <si>
    <t>FEB.07</t>
  </si>
  <si>
    <t>Q1.FEB7</t>
  </si>
  <si>
    <t>FEB.12</t>
  </si>
  <si>
    <t>FEB.13</t>
  </si>
  <si>
    <t>FEB.14</t>
  </si>
  <si>
    <t>FEB.19</t>
  </si>
  <si>
    <t>FEB.20</t>
  </si>
  <si>
    <t>Q2.FEB20</t>
  </si>
  <si>
    <t>FEB.21</t>
  </si>
  <si>
    <t>FEB.26</t>
  </si>
  <si>
    <t>FEB.27</t>
  </si>
  <si>
    <t xml:space="preserve">Class Record </t>
  </si>
  <si>
    <t>(Pursuant to Deped Order 8 series of 2015)</t>
  </si>
  <si>
    <t>REGION</t>
  </si>
  <si>
    <t>NCR</t>
  </si>
  <si>
    <t>DIVISION</t>
  </si>
  <si>
    <t>MANILA</t>
  </si>
  <si>
    <t>SCHOOL NAME</t>
  </si>
  <si>
    <t>TUP MANILA</t>
  </si>
  <si>
    <t>SCHOOL ID</t>
  </si>
  <si>
    <t>TUPM-24-12506</t>
  </si>
  <si>
    <t>SCHOOL YEAR</t>
  </si>
  <si>
    <t>2024-2025</t>
  </si>
  <si>
    <t>FIRST QUARTER</t>
  </si>
  <si>
    <t xml:space="preserve">GRADE &amp; SECTION: </t>
  </si>
  <si>
    <t>BTVTED-ET</t>
  </si>
  <si>
    <t>TEACHER:</t>
  </si>
  <si>
    <t>Prof. Izhar Daniel Dantes</t>
  </si>
  <si>
    <t>SUBJECT:</t>
  </si>
  <si>
    <t>ICT1EL</t>
  </si>
  <si>
    <t>LEARNERS' NAMES</t>
  </si>
  <si>
    <t>LAB ACTIVITIES (60%)</t>
  </si>
  <si>
    <t>ATTENDANCE (40%)</t>
  </si>
  <si>
    <t>QUARTERLY ASSESSMENT (20%)</t>
  </si>
  <si>
    <t xml:space="preserve">Initial </t>
  </si>
  <si>
    <t xml:space="preserve">   Quarterly                 
</t>
  </si>
  <si>
    <t>Total</t>
  </si>
  <si>
    <t>PS</t>
  </si>
  <si>
    <t>WS</t>
  </si>
  <si>
    <t>Grade</t>
  </si>
  <si>
    <t>HIGHEST POSSIBLE SCORE</t>
  </si>
  <si>
    <t xml:space="preserve">MALE </t>
  </si>
  <si>
    <t>Barrozo, Christian Edward  C.</t>
  </si>
  <si>
    <t>Benitez, Joshua F.</t>
  </si>
  <si>
    <t>Brillantes, Brent James</t>
  </si>
  <si>
    <t>Briñes, Jiro Miguel M.</t>
  </si>
  <si>
    <t>Busante, Bryan Jerick</t>
  </si>
  <si>
    <t>Canamales, Joshua C.</t>
  </si>
  <si>
    <t>Contaoi, Marl Cedric</t>
  </si>
  <si>
    <t xml:space="preserve">Diestro, Daniel M. </t>
  </si>
  <si>
    <t>Egca, Benedict D.</t>
  </si>
  <si>
    <t>Estil, Jester A.</t>
  </si>
  <si>
    <t>Eugenio, Kirk Benedict O.</t>
  </si>
  <si>
    <t>Francisco, Reign T.</t>
  </si>
  <si>
    <t>Herrera, Rednash T.</t>
  </si>
  <si>
    <t>Limosnero, Frankie  A.</t>
  </si>
  <si>
    <t>Mater, Aron M.</t>
  </si>
  <si>
    <t>Matuguina, Rhamil  C.</t>
  </si>
  <si>
    <t>Perina, Gerryko Geollegue</t>
  </si>
  <si>
    <t>Reyes, Daniell Joseph F.</t>
  </si>
  <si>
    <t>Sacdalan, Joshrie O.</t>
  </si>
  <si>
    <t>Sangco, Jethro C.</t>
  </si>
  <si>
    <t>Santiago, Jimrey B.</t>
  </si>
  <si>
    <t>Ubalde, Ronald Aehron B.</t>
  </si>
  <si>
    <t>Venezuela, Jhay-z Aaron M.</t>
  </si>
  <si>
    <t>Female</t>
  </si>
  <si>
    <t xml:space="preserve">Abobo, Precious-Zennah B. </t>
  </si>
  <si>
    <t>Agustin, Jackie Lyn C.</t>
  </si>
  <si>
    <t>Batchar, Loraine Zyrah O.</t>
  </si>
  <si>
    <t>Berches, Shaira A.</t>
  </si>
  <si>
    <t>Dajuya, Rachel P.</t>
  </si>
  <si>
    <t>Dionisio, Michaella M.</t>
  </si>
  <si>
    <t>Dirige, Rashlie Jhem F.</t>
  </si>
  <si>
    <t>Dovales, Riellyn Joy E.</t>
  </si>
  <si>
    <t>Magallanes, Ma. Christina Joy P.</t>
  </si>
  <si>
    <t>Melencion, Myrna B.</t>
  </si>
  <si>
    <t>Ranoco, Jan Marie B.</t>
  </si>
  <si>
    <t>Rodjel, Cheyanne P.</t>
  </si>
  <si>
    <t>Rollon, Karyl C.</t>
  </si>
  <si>
    <t>Sadsad, Kathleen Jean</t>
  </si>
  <si>
    <t>Saura, Bheverie Joy P.</t>
  </si>
  <si>
    <t xml:space="preserve">FEMALE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</si>
</sst>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
  </numFmts>
  <fonts count="17">
    <font>
      <sz val="11"/>
      <name val="Segoe UI"/>
    </font>
    <font>
      <sz val="11"/>
      <color theme="1"/>
      <name val="Calibri"/>
      <family val="2"/>
      <scheme val="minor"/>
    </font>
    <font>
      <b/>
      <sz val="12"/>
      <name val="Segoe UI"/>
      <family val="2"/>
    </font>
    <font>
      <b/>
      <sz val="12"/>
      <name val="Segoe UI"/>
      <family val="2"/>
    </font>
    <font>
      <sz val="11"/>
      <name val="Segoe UI"/>
    </font>
    <font>
      <b/>
      <sz val="21"/>
      <name val="Arial"/>
      <family val="2"/>
    </font>
    <font>
      <sz val="11"/>
      <name val="Arial"/>
      <family val="2"/>
    </font>
    <font>
      <b/>
      <sz val="11"/>
      <name val="Arial"/>
      <family val="2"/>
    </font>
    <font>
      <i/>
      <sz val="7"/>
      <color indexed="72"/>
      <name val="Arial Narrow"/>
      <family val="2"/>
    </font>
    <font>
      <sz val="14"/>
      <name val="Arial"/>
      <family val="2"/>
    </font>
    <font>
      <b/>
      <sz val="14"/>
      <name val="Arial"/>
      <family val="2"/>
    </font>
    <font>
      <sz val="12"/>
      <name val="Arial"/>
      <family val="2"/>
    </font>
    <font>
      <b/>
      <sz val="12"/>
      <name val="Arial"/>
      <family val="2"/>
    </font>
    <font>
      <sz val="12"/>
      <color theme="1"/>
      <name val="Arial"/>
      <family val="2"/>
    </font>
    <font>
      <sz val="11"/>
      <name val="SansSerif"/>
    </font>
    <font>
      <b/>
      <sz val="12"/>
      <color theme="1"/>
      <name val="Arial"/>
      <family val="2"/>
    </font>
    <font>
      <sz val="11"/>
      <color theme="1"/>
      <name val="Arial"/>
      <family val="2"/>
    </font>
  </fonts>
  <fills count="12">
    <fill>
      <patternFill patternType="none"/>
    </fill>
    <fill>
      <patternFill patternType="gray125"/>
    </fill>
    <fill>
      <patternFill patternType="solid">
        <fgColor rgb="FFE7E7F7"/>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
      <patternFill patternType="solid">
        <fgColor theme="7"/>
        <bgColor indexed="64"/>
      </patternFill>
    </fill>
    <fill>
      <patternFill patternType="solid">
        <fgColor theme="5"/>
        <bgColor indexed="64"/>
      </patternFill>
    </fill>
    <fill>
      <patternFill patternType="solid">
        <fgColor theme="0" tint="-0.249977111117893"/>
        <bgColor indexed="64"/>
      </patternFill>
    </fill>
    <fill>
      <patternFill patternType="solid">
        <fgColor rgb="FFFF3399"/>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ck">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ck">
        <color indexed="64"/>
      </right>
      <top/>
      <bottom/>
      <diagonal/>
    </border>
    <border>
      <left style="thick">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ck">
        <color indexed="64"/>
      </right>
      <top/>
      <bottom style="medium">
        <color indexed="64"/>
      </bottom>
      <diagonal/>
    </border>
    <border>
      <left style="thick">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medium">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ck">
        <color indexed="64"/>
      </right>
      <top/>
      <bottom style="thin">
        <color indexed="64"/>
      </bottom>
      <diagonal/>
    </border>
    <border>
      <left style="thick">
        <color indexed="64"/>
      </left>
      <right style="thin">
        <color indexed="64"/>
      </right>
      <top/>
      <bottom style="thin">
        <color indexed="64"/>
      </bottom>
      <diagonal/>
    </border>
    <border>
      <left style="thick">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medium">
        <color indexed="64"/>
      </left>
      <right style="medium">
        <color indexed="64"/>
      </right>
      <top/>
      <bottom/>
      <diagonal/>
    </border>
    <border>
      <left style="thick">
        <color indexed="64"/>
      </left>
      <right style="thin">
        <color indexed="64"/>
      </right>
      <top style="thin">
        <color indexed="64"/>
      </top>
      <bottom/>
      <diagonal/>
    </border>
    <border>
      <left style="thick">
        <color indexed="64"/>
      </left>
      <right style="thick">
        <color indexed="64"/>
      </right>
      <top/>
      <bottom/>
      <diagonal/>
    </border>
    <border>
      <left/>
      <right style="medium">
        <color indexed="64"/>
      </right>
      <top/>
      <bottom/>
      <diagonal/>
    </border>
    <border>
      <left style="thick">
        <color indexed="64"/>
      </left>
      <right style="thin">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medium">
        <color indexed="64"/>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s>
  <cellStyleXfs count="4">
    <xf numFmtId="0" fontId="0" fillId="0" borderId="0"/>
    <xf numFmtId="0" fontId="1" fillId="0" borderId="0"/>
    <xf numFmtId="0" fontId="4" fillId="0" borderId="0"/>
    <xf numFmtId="9" fontId="1" fillId="0" borderId="0" applyFont="0" applyFill="0" applyBorder="0" applyAlignment="0" applyProtection="0"/>
  </cellStyleXfs>
  <cellXfs count="254">
    <xf numFmtId="0" fontId="0" fillId="0" borderId="0" xfId="0"/>
    <xf numFmtId="0" fontId="0" fillId="0" borderId="1" xfId="0" applyBorder="1"/>
    <xf numFmtId="0" fontId="0" fillId="2" borderId="1" xfId="0" applyFill="1" applyBorder="1"/>
    <xf numFmtId="0" fontId="0" fillId="6" borderId="1" xfId="0" applyFill="1" applyBorder="1"/>
    <xf numFmtId="0" fontId="0" fillId="0" borderId="4" xfId="0" applyBorder="1" applyAlignment="1">
      <alignment horizontal="center"/>
    </xf>
    <xf numFmtId="0" fontId="0" fillId="4" borderId="1" xfId="0" applyFill="1" applyBorder="1" applyAlignment="1">
      <alignment horizontal="center"/>
    </xf>
    <xf numFmtId="0" fontId="0" fillId="4" borderId="4" xfId="0" applyFill="1" applyBorder="1" applyAlignment="1">
      <alignment horizontal="center"/>
    </xf>
    <xf numFmtId="0" fontId="0" fillId="5" borderId="1" xfId="0" applyFill="1" applyBorder="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7" borderId="4" xfId="0" applyFill="1" applyBorder="1" applyAlignment="1">
      <alignment horizontal="center"/>
    </xf>
    <xf numFmtId="20" fontId="0" fillId="7" borderId="4" xfId="0" applyNumberFormat="1" applyFill="1" applyBorder="1" applyAlignment="1">
      <alignment horizontal="center"/>
    </xf>
    <xf numFmtId="0" fontId="0" fillId="0" borderId="0" xfId="0" applyAlignment="1">
      <alignment horizontal="left"/>
    </xf>
    <xf numFmtId="0" fontId="0" fillId="7" borderId="4" xfId="0" applyFill="1" applyBorder="1" applyAlignment="1">
      <alignment horizontal="left"/>
    </xf>
    <xf numFmtId="0" fontId="0" fillId="4" borderId="4" xfId="0" applyFill="1" applyBorder="1" applyAlignment="1">
      <alignment horizontal="left"/>
    </xf>
    <xf numFmtId="20" fontId="0" fillId="4" borderId="4" xfId="0" applyNumberFormat="1" applyFill="1" applyBorder="1" applyAlignment="1">
      <alignment horizontal="left"/>
    </xf>
    <xf numFmtId="0" fontId="0" fillId="5" borderId="4" xfId="0" applyFill="1" applyBorder="1" applyAlignment="1">
      <alignment horizontal="left"/>
    </xf>
    <xf numFmtId="0" fontId="0" fillId="8" borderId="4" xfId="0" applyFill="1" applyBorder="1" applyAlignment="1">
      <alignment horizontal="center"/>
    </xf>
    <xf numFmtId="20" fontId="0" fillId="5" borderId="4" xfId="0" applyNumberFormat="1" applyFill="1" applyBorder="1" applyAlignment="1">
      <alignment horizontal="center"/>
    </xf>
    <xf numFmtId="0" fontId="0" fillId="7" borderId="4" xfId="0" applyFill="1" applyBorder="1"/>
    <xf numFmtId="20" fontId="0" fillId="4" borderId="4" xfId="0" applyNumberFormat="1" applyFill="1" applyBorder="1"/>
    <xf numFmtId="0" fontId="0" fillId="5" borderId="4" xfId="0" applyFill="1" applyBorder="1"/>
    <xf numFmtId="0" fontId="0" fillId="4" borderId="4" xfId="0" applyFill="1" applyBorder="1"/>
    <xf numFmtId="0" fontId="0" fillId="0" borderId="2" xfId="0" applyBorder="1" applyAlignment="1">
      <alignment horizontal="center"/>
    </xf>
    <xf numFmtId="0" fontId="2" fillId="0" borderId="1" xfId="0" applyFont="1" applyBorder="1"/>
    <xf numFmtId="0" fontId="3" fillId="3" borderId="1" xfId="0" applyFont="1" applyFill="1" applyBorder="1"/>
    <xf numFmtId="0" fontId="3" fillId="3" borderId="1" xfId="0" applyFont="1" applyFill="1" applyBorder="1" applyAlignment="1">
      <alignment horizontal="center"/>
    </xf>
    <xf numFmtId="0" fontId="3" fillId="3" borderId="3" xfId="0" applyFont="1" applyFill="1" applyBorder="1" applyAlignment="1">
      <alignment horizontal="center"/>
    </xf>
    <xf numFmtId="0" fontId="2" fillId="3" borderId="4" xfId="0" applyFont="1" applyFill="1" applyBorder="1" applyAlignment="1">
      <alignment horizontal="center"/>
    </xf>
    <xf numFmtId="0" fontId="2" fillId="0" borderId="4" xfId="0" applyFont="1" applyBorder="1" applyAlignment="1">
      <alignment horizontal="center"/>
    </xf>
    <xf numFmtId="0" fontId="3" fillId="3" borderId="4" xfId="0" applyFont="1" applyFill="1" applyBorder="1" applyAlignment="1">
      <alignment horizontal="center"/>
    </xf>
    <xf numFmtId="0" fontId="3" fillId="3" borderId="4" xfId="0" applyFont="1" applyFill="1" applyBorder="1" applyAlignment="1">
      <alignment horizontal="left"/>
    </xf>
    <xf numFmtId="0" fontId="2" fillId="9" borderId="2" xfId="0" applyFont="1" applyFill="1" applyBorder="1" applyAlignment="1">
      <alignment horizontal="center"/>
    </xf>
    <xf numFmtId="0" fontId="2" fillId="0" borderId="0" xfId="0" applyFont="1"/>
    <xf numFmtId="0" fontId="2" fillId="3" borderId="2" xfId="0" applyFont="1" applyFill="1" applyBorder="1" applyAlignment="1">
      <alignment horizontal="center"/>
    </xf>
    <xf numFmtId="20" fontId="0" fillId="7" borderId="4" xfId="0" applyNumberFormat="1" applyFill="1" applyBorder="1"/>
    <xf numFmtId="0" fontId="0" fillId="3" borderId="2" xfId="0" applyFill="1" applyBorder="1"/>
    <xf numFmtId="0" fontId="0" fillId="5" borderId="2" xfId="0" applyFill="1" applyBorder="1"/>
    <xf numFmtId="0" fontId="6" fillId="0" borderId="0" xfId="1" applyFont="1" applyProtection="1">
      <protection locked="0"/>
    </xf>
    <xf numFmtId="0" fontId="7" fillId="0" borderId="0" xfId="1" applyFont="1" applyProtection="1">
      <protection locked="0"/>
    </xf>
    <xf numFmtId="0" fontId="6" fillId="0" borderId="0" xfId="1" applyFont="1" applyAlignment="1" applyProtection="1">
      <alignment horizontal="center"/>
      <protection locked="0"/>
    </xf>
    <xf numFmtId="0" fontId="9" fillId="0" borderId="0" xfId="1" applyFont="1" applyAlignment="1" applyProtection="1">
      <alignment horizontal="center"/>
      <protection locked="0"/>
    </xf>
    <xf numFmtId="164" fontId="6" fillId="0" borderId="0" xfId="1" applyNumberFormat="1" applyFont="1" applyAlignment="1" applyProtection="1">
      <alignment horizontal="center"/>
      <protection locked="0"/>
    </xf>
    <xf numFmtId="164" fontId="12" fillId="0" borderId="0" xfId="1" applyNumberFormat="1" applyFont="1" applyAlignment="1" applyProtection="1">
      <alignment vertical="center"/>
      <protection locked="0"/>
    </xf>
    <xf numFmtId="164" fontId="7" fillId="0" borderId="0" xfId="1" applyNumberFormat="1" applyFont="1" applyAlignment="1" applyProtection="1">
      <alignment horizontal="center"/>
      <protection locked="0"/>
    </xf>
    <xf numFmtId="164" fontId="6" fillId="0" borderId="0" xfId="1" applyNumberFormat="1" applyFont="1" applyProtection="1">
      <protection locked="0"/>
    </xf>
    <xf numFmtId="0" fontId="12" fillId="0" borderId="0" xfId="1" applyFont="1" applyAlignment="1" applyProtection="1">
      <alignment vertical="center"/>
      <protection locked="0"/>
    </xf>
    <xf numFmtId="0" fontId="11" fillId="0" borderId="15" xfId="1" applyFont="1" applyBorder="1" applyAlignment="1" applyProtection="1">
      <alignment vertical="center"/>
      <protection locked="0"/>
    </xf>
    <xf numFmtId="2" fontId="7" fillId="0" borderId="0" xfId="1" applyNumberFormat="1" applyFont="1" applyAlignment="1" applyProtection="1">
      <alignment horizontal="center"/>
      <protection locked="0"/>
    </xf>
    <xf numFmtId="0" fontId="7" fillId="0" borderId="0" xfId="1" applyFont="1" applyAlignment="1" applyProtection="1">
      <alignment horizontal="center"/>
      <protection locked="0"/>
    </xf>
    <xf numFmtId="0" fontId="7" fillId="0" borderId="16" xfId="1" applyFont="1" applyBorder="1" applyAlignment="1" applyProtection="1">
      <alignment horizontal="center" vertical="center" textRotation="90" shrinkToFit="1"/>
      <protection locked="0"/>
    </xf>
    <xf numFmtId="2" fontId="7" fillId="0" borderId="23" xfId="1" applyNumberFormat="1" applyFont="1" applyBorder="1" applyAlignment="1" applyProtection="1">
      <alignment horizontal="center" vertical="center" wrapText="1"/>
      <protection locked="0"/>
    </xf>
    <xf numFmtId="2" fontId="7" fillId="0" borderId="24" xfId="1" applyNumberFormat="1" applyFont="1" applyBorder="1" applyAlignment="1" applyProtection="1">
      <alignment horizontal="center" vertical="center" wrapText="1"/>
      <protection locked="0"/>
    </xf>
    <xf numFmtId="0" fontId="7" fillId="0" borderId="16" xfId="1" applyFont="1" applyBorder="1" applyAlignment="1" applyProtection="1">
      <alignment vertical="center"/>
      <protection locked="0"/>
    </xf>
    <xf numFmtId="0" fontId="7" fillId="0" borderId="10" xfId="1" applyFont="1" applyBorder="1" applyAlignment="1" applyProtection="1">
      <alignment vertical="center"/>
      <protection locked="0"/>
    </xf>
    <xf numFmtId="0" fontId="7" fillId="0" borderId="25" xfId="1" applyFont="1" applyBorder="1" applyAlignment="1" applyProtection="1">
      <alignment horizontal="center" vertical="center"/>
      <protection locked="0"/>
    </xf>
    <xf numFmtId="0" fontId="7" fillId="0" borderId="26" xfId="1" applyFont="1" applyBorder="1" applyAlignment="1" applyProtection="1">
      <alignment horizontal="center" vertical="center"/>
      <protection locked="0"/>
    </xf>
    <xf numFmtId="0" fontId="7" fillId="0" borderId="26" xfId="1" applyFont="1" applyBorder="1" applyAlignment="1" applyProtection="1">
      <alignment vertical="center"/>
      <protection locked="0"/>
    </xf>
    <xf numFmtId="2" fontId="7" fillId="0" borderId="26" xfId="1" applyNumberFormat="1" applyFont="1" applyBorder="1" applyAlignment="1" applyProtection="1">
      <alignment horizontal="center" vertical="center"/>
      <protection locked="0"/>
    </xf>
    <xf numFmtId="9" fontId="7" fillId="0" borderId="27" xfId="3" applyFont="1" applyFill="1" applyBorder="1" applyAlignment="1" applyProtection="1">
      <alignment horizontal="center" vertical="center"/>
      <protection locked="0"/>
    </xf>
    <xf numFmtId="0" fontId="7" fillId="0" borderId="28" xfId="1" applyFont="1" applyBorder="1" applyAlignment="1" applyProtection="1">
      <alignment horizontal="center" vertical="center"/>
      <protection locked="0"/>
    </xf>
    <xf numFmtId="2" fontId="7" fillId="0" borderId="1" xfId="1" applyNumberFormat="1" applyFont="1" applyBorder="1" applyAlignment="1" applyProtection="1">
      <alignment horizontal="center" vertical="center"/>
      <protection locked="0"/>
    </xf>
    <xf numFmtId="9" fontId="7" fillId="0" borderId="29" xfId="3" applyFont="1" applyFill="1" applyBorder="1" applyAlignment="1" applyProtection="1">
      <alignment horizontal="center" vertical="center"/>
      <protection locked="0"/>
    </xf>
    <xf numFmtId="0" fontId="7" fillId="0" borderId="0" xfId="1" applyFont="1" applyAlignment="1" applyProtection="1">
      <alignment horizontal="center" vertical="center"/>
      <protection locked="0"/>
    </xf>
    <xf numFmtId="0" fontId="7" fillId="0" borderId="16" xfId="1" applyFont="1" applyBorder="1" applyAlignment="1" applyProtection="1">
      <alignment horizontal="center" shrinkToFit="1"/>
      <protection locked="0"/>
    </xf>
    <xf numFmtId="0" fontId="13" fillId="0" borderId="32" xfId="1" applyFont="1" applyBorder="1"/>
    <xf numFmtId="0" fontId="13" fillId="0" borderId="33" xfId="1" applyFont="1" applyBorder="1"/>
    <xf numFmtId="0" fontId="7" fillId="0" borderId="33" xfId="1" applyFont="1" applyBorder="1" applyAlignment="1" applyProtection="1">
      <alignment horizontal="center"/>
      <protection hidden="1"/>
    </xf>
    <xf numFmtId="2" fontId="7" fillId="0" borderId="33" xfId="1" applyNumberFormat="1" applyFont="1" applyBorder="1" applyAlignment="1" applyProtection="1">
      <alignment horizontal="center"/>
      <protection locked="0"/>
    </xf>
    <xf numFmtId="9" fontId="7" fillId="0" borderId="34" xfId="1" applyNumberFormat="1" applyFont="1" applyBorder="1" applyAlignment="1" applyProtection="1">
      <alignment horizontal="center"/>
      <protection locked="0"/>
    </xf>
    <xf numFmtId="0" fontId="7" fillId="0" borderId="32" xfId="1" applyFont="1" applyBorder="1" applyAlignment="1" applyProtection="1">
      <alignment horizontal="center" shrinkToFit="1"/>
      <protection locked="0"/>
    </xf>
    <xf numFmtId="9" fontId="7" fillId="0" borderId="35" xfId="1" applyNumberFormat="1" applyFont="1" applyBorder="1" applyAlignment="1" applyProtection="1">
      <alignment horizontal="center"/>
      <protection locked="0"/>
    </xf>
    <xf numFmtId="0" fontId="7" fillId="0" borderId="0" xfId="1" applyFont="1" applyAlignment="1" applyProtection="1">
      <alignment shrinkToFit="1"/>
      <protection locked="0"/>
    </xf>
    <xf numFmtId="0" fontId="7" fillId="10" borderId="6" xfId="1" applyFont="1" applyFill="1" applyBorder="1" applyAlignment="1" applyProtection="1">
      <alignment horizontal="center" shrinkToFit="1"/>
      <protection locked="0"/>
    </xf>
    <xf numFmtId="0" fontId="7" fillId="10" borderId="17" xfId="1" applyFont="1" applyFill="1" applyBorder="1" applyAlignment="1" applyProtection="1">
      <alignment horizontal="center" shrinkToFit="1"/>
      <protection locked="0"/>
    </xf>
    <xf numFmtId="0" fontId="7" fillId="10" borderId="18" xfId="1" applyFont="1" applyFill="1" applyBorder="1" applyAlignment="1" applyProtection="1">
      <alignment horizontal="center" shrinkToFit="1"/>
      <protection locked="0"/>
    </xf>
    <xf numFmtId="0" fontId="7" fillId="10" borderId="18" xfId="1" applyFont="1" applyFill="1" applyBorder="1" applyAlignment="1" applyProtection="1">
      <alignment horizontal="center"/>
      <protection locked="0"/>
    </xf>
    <xf numFmtId="2" fontId="7" fillId="10" borderId="18" xfId="1" applyNumberFormat="1" applyFont="1" applyFill="1" applyBorder="1" applyAlignment="1" applyProtection="1">
      <alignment horizontal="center"/>
      <protection locked="0"/>
    </xf>
    <xf numFmtId="2" fontId="7" fillId="10" borderId="19" xfId="1" applyNumberFormat="1" applyFont="1" applyFill="1" applyBorder="1" applyAlignment="1" applyProtection="1">
      <alignment horizontal="center"/>
      <protection locked="0"/>
    </xf>
    <xf numFmtId="2" fontId="7" fillId="10" borderId="38" xfId="1" applyNumberFormat="1" applyFont="1" applyFill="1" applyBorder="1" applyAlignment="1" applyProtection="1">
      <alignment horizontal="center"/>
      <protection locked="0"/>
    </xf>
    <xf numFmtId="2" fontId="7" fillId="10" borderId="10" xfId="1" applyNumberFormat="1" applyFont="1" applyFill="1" applyBorder="1" applyAlignment="1" applyProtection="1">
      <alignment horizontal="center"/>
      <protection locked="0"/>
    </xf>
    <xf numFmtId="1" fontId="7" fillId="10" borderId="16" xfId="1" applyNumberFormat="1" applyFont="1" applyFill="1" applyBorder="1" applyAlignment="1" applyProtection="1">
      <alignment horizontal="center"/>
      <protection locked="0"/>
    </xf>
    <xf numFmtId="0" fontId="7" fillId="0" borderId="39" xfId="1" applyFont="1" applyBorder="1" applyAlignment="1" applyProtection="1">
      <alignment horizontal="center"/>
      <protection locked="0"/>
    </xf>
    <xf numFmtId="0" fontId="13" fillId="0" borderId="40" xfId="1" applyFont="1" applyBorder="1"/>
    <xf numFmtId="164" fontId="14" fillId="0" borderId="41" xfId="1" applyNumberFormat="1" applyFont="1" applyBorder="1" applyAlignment="1" applyProtection="1">
      <alignment horizontal="left" vertical="center" wrapText="1"/>
      <protection locked="0"/>
    </xf>
    <xf numFmtId="164" fontId="14" fillId="0" borderId="42" xfId="1" applyNumberFormat="1" applyFont="1" applyBorder="1" applyAlignment="1" applyProtection="1">
      <alignment horizontal="left" vertical="center" wrapText="1"/>
      <protection locked="0"/>
    </xf>
    <xf numFmtId="0" fontId="13" fillId="0" borderId="43" xfId="1" applyFont="1" applyBorder="1"/>
    <xf numFmtId="0" fontId="13" fillId="0" borderId="26" xfId="1" applyFont="1" applyBorder="1"/>
    <xf numFmtId="0" fontId="13" fillId="0" borderId="1" xfId="1" applyFont="1" applyBorder="1"/>
    <xf numFmtId="1" fontId="6" fillId="0" borderId="26" xfId="1" applyNumberFormat="1" applyFont="1" applyBorder="1" applyAlignment="1" applyProtection="1">
      <alignment horizontal="center"/>
      <protection hidden="1"/>
    </xf>
    <xf numFmtId="2" fontId="7" fillId="0" borderId="26" xfId="1" applyNumberFormat="1" applyFont="1" applyBorder="1" applyAlignment="1" applyProtection="1">
      <alignment horizontal="center"/>
      <protection hidden="1"/>
    </xf>
    <xf numFmtId="2" fontId="7" fillId="0" borderId="27" xfId="1" applyNumberFormat="1" applyFont="1" applyBorder="1" applyAlignment="1" applyProtection="1">
      <alignment horizontal="center"/>
      <protection hidden="1"/>
    </xf>
    <xf numFmtId="0" fontId="6" fillId="0" borderId="25" xfId="1" applyFont="1" applyBorder="1" applyAlignment="1" applyProtection="1">
      <alignment horizontal="center"/>
      <protection locked="0"/>
    </xf>
    <xf numFmtId="0" fontId="6" fillId="0" borderId="26" xfId="1" applyFont="1" applyBorder="1" applyAlignment="1" applyProtection="1">
      <alignment horizontal="center"/>
      <protection locked="0"/>
    </xf>
    <xf numFmtId="0" fontId="6" fillId="0" borderId="1" xfId="1" applyFont="1" applyBorder="1" applyAlignment="1" applyProtection="1">
      <alignment horizontal="center"/>
      <protection locked="0"/>
    </xf>
    <xf numFmtId="0" fontId="6" fillId="0" borderId="32" xfId="1" applyFont="1" applyBorder="1" applyAlignment="1" applyProtection="1">
      <alignment horizontal="center"/>
      <protection locked="0"/>
    </xf>
    <xf numFmtId="2" fontId="7" fillId="0" borderId="44" xfId="1" applyNumberFormat="1" applyFont="1" applyBorder="1" applyAlignment="1" applyProtection="1">
      <alignment horizontal="center"/>
      <protection hidden="1"/>
    </xf>
    <xf numFmtId="2" fontId="7" fillId="0" borderId="5" xfId="1" applyNumberFormat="1" applyFont="1" applyBorder="1" applyAlignment="1" applyProtection="1">
      <alignment horizontal="center"/>
      <protection hidden="1"/>
    </xf>
    <xf numFmtId="1" fontId="7" fillId="0" borderId="45" xfId="1" applyNumberFormat="1" applyFont="1" applyBorder="1" applyAlignment="1" applyProtection="1">
      <alignment horizontal="center"/>
      <protection hidden="1"/>
    </xf>
    <xf numFmtId="0" fontId="7" fillId="0" borderId="46" xfId="1" applyFont="1" applyBorder="1" applyAlignment="1" applyProtection="1">
      <alignment horizontal="center"/>
      <protection locked="0"/>
    </xf>
    <xf numFmtId="0" fontId="13" fillId="0" borderId="47" xfId="1" applyFont="1" applyBorder="1"/>
    <xf numFmtId="164" fontId="14" fillId="0" borderId="13" xfId="1" applyNumberFormat="1" applyFont="1" applyBorder="1" applyAlignment="1" applyProtection="1">
      <alignment horizontal="left" vertical="center" wrapText="1"/>
      <protection locked="0"/>
    </xf>
    <xf numFmtId="164" fontId="14" fillId="0" borderId="48" xfId="1" applyNumberFormat="1" applyFont="1" applyBorder="1" applyAlignment="1" applyProtection="1">
      <alignment horizontal="left" vertical="center" wrapText="1"/>
      <protection locked="0"/>
    </xf>
    <xf numFmtId="0" fontId="13" fillId="0" borderId="14" xfId="1" applyFont="1" applyBorder="1"/>
    <xf numFmtId="0" fontId="6" fillId="0" borderId="28" xfId="1" applyFont="1" applyBorder="1" applyAlignment="1" applyProtection="1">
      <alignment horizontal="center"/>
      <protection locked="0"/>
    </xf>
    <xf numFmtId="1" fontId="6" fillId="0" borderId="1" xfId="1" applyNumberFormat="1" applyFont="1" applyBorder="1" applyAlignment="1" applyProtection="1">
      <alignment horizontal="center"/>
      <protection hidden="1"/>
    </xf>
    <xf numFmtId="2" fontId="7" fillId="0" borderId="3" xfId="1" applyNumberFormat="1" applyFont="1" applyBorder="1" applyAlignment="1" applyProtection="1">
      <alignment horizontal="center"/>
      <protection hidden="1"/>
    </xf>
    <xf numFmtId="2" fontId="7" fillId="0" borderId="1" xfId="1" applyNumberFormat="1" applyFont="1" applyBorder="1" applyAlignment="1" applyProtection="1">
      <alignment horizontal="center"/>
      <protection hidden="1"/>
    </xf>
    <xf numFmtId="2" fontId="7" fillId="0" borderId="29" xfId="1" applyNumberFormat="1" applyFont="1" applyBorder="1" applyAlignment="1" applyProtection="1">
      <alignment horizontal="center"/>
      <protection hidden="1"/>
    </xf>
    <xf numFmtId="0" fontId="13" fillId="0" borderId="49" xfId="1" applyFont="1" applyBorder="1"/>
    <xf numFmtId="164" fontId="14" fillId="0" borderId="50" xfId="1" applyNumberFormat="1" applyFont="1" applyBorder="1" applyAlignment="1" applyProtection="1">
      <alignment horizontal="left" vertical="center" wrapText="1"/>
      <protection locked="0"/>
    </xf>
    <xf numFmtId="164" fontId="14" fillId="0" borderId="51" xfId="1" applyNumberFormat="1" applyFont="1" applyBorder="1" applyAlignment="1" applyProtection="1">
      <alignment horizontal="left" vertical="center" wrapText="1"/>
      <protection locked="0"/>
    </xf>
    <xf numFmtId="0" fontId="7" fillId="0" borderId="52" xfId="1" applyFont="1" applyBorder="1" applyAlignment="1" applyProtection="1">
      <alignment horizontal="center"/>
      <protection locked="0"/>
    </xf>
    <xf numFmtId="0" fontId="13" fillId="0" borderId="56" xfId="1" applyFont="1" applyBorder="1"/>
    <xf numFmtId="0" fontId="6" fillId="0" borderId="33" xfId="1" applyFont="1" applyBorder="1" applyAlignment="1" applyProtection="1">
      <alignment horizontal="center"/>
      <protection locked="0"/>
    </xf>
    <xf numFmtId="0" fontId="7" fillId="11" borderId="57" xfId="1" applyFont="1" applyFill="1" applyBorder="1" applyAlignment="1" applyProtection="1">
      <alignment horizontal="center"/>
      <protection locked="0"/>
    </xf>
    <xf numFmtId="0" fontId="15" fillId="11" borderId="57" xfId="1" applyFont="1" applyFill="1" applyBorder="1"/>
    <xf numFmtId="0" fontId="13" fillId="11" borderId="58" xfId="1" applyFont="1" applyFill="1" applyBorder="1"/>
    <xf numFmtId="0" fontId="13" fillId="11" borderId="59" xfId="1" applyFont="1" applyFill="1" applyBorder="1"/>
    <xf numFmtId="0" fontId="13" fillId="11" borderId="60" xfId="1" applyFont="1" applyFill="1" applyBorder="1"/>
    <xf numFmtId="0" fontId="13" fillId="11" borderId="61" xfId="1" applyFont="1" applyFill="1" applyBorder="1"/>
    <xf numFmtId="0" fontId="13" fillId="11" borderId="62" xfId="1" applyFont="1" applyFill="1" applyBorder="1"/>
    <xf numFmtId="0" fontId="13" fillId="11" borderId="17" xfId="1" applyFont="1" applyFill="1" applyBorder="1"/>
    <xf numFmtId="0" fontId="13" fillId="11" borderId="18" xfId="1" applyFont="1" applyFill="1" applyBorder="1"/>
    <xf numFmtId="2" fontId="7" fillId="11" borderId="38" xfId="1" applyNumberFormat="1" applyFont="1" applyFill="1" applyBorder="1" applyAlignment="1" applyProtection="1">
      <alignment horizontal="center"/>
      <protection hidden="1"/>
    </xf>
    <xf numFmtId="2" fontId="7" fillId="11" borderId="11" xfId="1" applyNumberFormat="1" applyFont="1" applyFill="1" applyBorder="1" applyAlignment="1" applyProtection="1">
      <alignment horizontal="center"/>
      <protection hidden="1"/>
    </xf>
    <xf numFmtId="1" fontId="7" fillId="11" borderId="11" xfId="1" applyNumberFormat="1" applyFont="1" applyFill="1" applyBorder="1" applyAlignment="1" applyProtection="1">
      <alignment horizontal="center"/>
      <protection hidden="1"/>
    </xf>
    <xf numFmtId="0" fontId="7" fillId="0" borderId="63" xfId="1" applyFont="1" applyBorder="1" applyAlignment="1" applyProtection="1">
      <alignment horizontal="center"/>
      <protection locked="0"/>
    </xf>
    <xf numFmtId="164" fontId="6" fillId="0" borderId="63" xfId="1" applyNumberFormat="1" applyFont="1" applyBorder="1" applyAlignment="1" applyProtection="1">
      <alignment horizontal="left"/>
      <protection hidden="1"/>
    </xf>
    <xf numFmtId="164" fontId="14" fillId="0" borderId="5" xfId="1" applyNumberFormat="1" applyFont="1" applyBorder="1" applyAlignment="1" applyProtection="1">
      <alignment horizontal="left" vertical="center" wrapText="1"/>
      <protection locked="0"/>
    </xf>
    <xf numFmtId="0" fontId="6" fillId="0" borderId="20" xfId="1" applyFont="1" applyBorder="1" applyAlignment="1" applyProtection="1">
      <alignment horizontal="center"/>
      <protection locked="0"/>
    </xf>
    <xf numFmtId="0" fontId="6" fillId="0" borderId="21" xfId="1" applyFont="1" applyBorder="1" applyAlignment="1" applyProtection="1">
      <alignment horizontal="center"/>
      <protection locked="0"/>
    </xf>
    <xf numFmtId="1" fontId="6" fillId="0" borderId="21" xfId="1" applyNumberFormat="1" applyFont="1" applyBorder="1" applyAlignment="1" applyProtection="1">
      <alignment horizontal="center"/>
      <protection hidden="1"/>
    </xf>
    <xf numFmtId="2" fontId="7" fillId="0" borderId="21" xfId="1" applyNumberFormat="1" applyFont="1" applyBorder="1" applyAlignment="1" applyProtection="1">
      <alignment horizontal="center"/>
      <protection hidden="1"/>
    </xf>
    <xf numFmtId="2" fontId="7" fillId="0" borderId="22" xfId="1" applyNumberFormat="1" applyFont="1" applyBorder="1" applyAlignment="1" applyProtection="1">
      <alignment horizontal="center"/>
      <protection hidden="1"/>
    </xf>
    <xf numFmtId="0" fontId="6" fillId="0" borderId="64" xfId="1" applyFont="1" applyBorder="1" applyAlignment="1" applyProtection="1">
      <alignment horizontal="center"/>
      <protection locked="0"/>
    </xf>
    <xf numFmtId="2" fontId="7" fillId="0" borderId="65" xfId="1" applyNumberFormat="1" applyFont="1" applyBorder="1" applyAlignment="1" applyProtection="1">
      <alignment horizontal="center"/>
      <protection hidden="1"/>
    </xf>
    <xf numFmtId="2" fontId="7" fillId="0" borderId="39" xfId="1" applyNumberFormat="1" applyFont="1" applyBorder="1" applyAlignment="1" applyProtection="1">
      <alignment horizontal="center"/>
      <protection hidden="1"/>
    </xf>
    <xf numFmtId="1" fontId="7" fillId="0" borderId="42" xfId="1" applyNumberFormat="1" applyFont="1" applyBorder="1" applyAlignment="1" applyProtection="1">
      <alignment horizontal="center"/>
      <protection hidden="1"/>
    </xf>
    <xf numFmtId="0" fontId="7" fillId="0" borderId="47" xfId="1" applyFont="1" applyBorder="1" applyAlignment="1" applyProtection="1">
      <alignment horizontal="center"/>
      <protection locked="0"/>
    </xf>
    <xf numFmtId="2" fontId="7" fillId="0" borderId="45" xfId="1" applyNumberFormat="1" applyFont="1" applyBorder="1" applyAlignment="1" applyProtection="1">
      <alignment horizontal="center"/>
      <protection hidden="1"/>
    </xf>
    <xf numFmtId="1" fontId="7" fillId="0" borderId="66" xfId="1" applyNumberFormat="1" applyFont="1" applyBorder="1" applyAlignment="1" applyProtection="1">
      <alignment horizontal="center"/>
      <protection hidden="1"/>
    </xf>
    <xf numFmtId="164" fontId="6" fillId="0" borderId="47" xfId="1" applyNumberFormat="1" applyFont="1" applyBorder="1" applyAlignment="1" applyProtection="1">
      <alignment horizontal="left"/>
      <protection hidden="1"/>
    </xf>
    <xf numFmtId="1" fontId="6" fillId="0" borderId="33" xfId="1" applyNumberFormat="1" applyFont="1" applyBorder="1" applyAlignment="1" applyProtection="1">
      <alignment horizontal="center"/>
      <protection hidden="1"/>
    </xf>
    <xf numFmtId="2" fontId="7" fillId="0" borderId="33" xfId="1" applyNumberFormat="1" applyFont="1" applyBorder="1" applyAlignment="1" applyProtection="1">
      <alignment horizontal="center"/>
      <protection hidden="1"/>
    </xf>
    <xf numFmtId="2" fontId="7" fillId="0" borderId="34" xfId="1" applyNumberFormat="1" applyFont="1" applyBorder="1" applyAlignment="1" applyProtection="1">
      <alignment horizontal="center"/>
      <protection hidden="1"/>
    </xf>
    <xf numFmtId="0" fontId="6" fillId="0" borderId="67" xfId="1" applyFont="1" applyBorder="1" applyAlignment="1" applyProtection="1">
      <alignment horizontal="center"/>
      <protection locked="0"/>
    </xf>
    <xf numFmtId="0" fontId="6" fillId="0" borderId="68" xfId="1" applyFont="1" applyBorder="1" applyAlignment="1" applyProtection="1">
      <alignment horizontal="center"/>
      <protection locked="0"/>
    </xf>
    <xf numFmtId="1" fontId="6" fillId="0" borderId="68" xfId="1" applyNumberFormat="1" applyFont="1" applyBorder="1" applyAlignment="1" applyProtection="1">
      <alignment horizontal="center"/>
      <protection hidden="1"/>
    </xf>
    <xf numFmtId="2" fontId="7" fillId="0" borderId="68" xfId="1" applyNumberFormat="1" applyFont="1" applyBorder="1" applyAlignment="1" applyProtection="1">
      <alignment horizontal="center"/>
      <protection hidden="1"/>
    </xf>
    <xf numFmtId="2" fontId="7" fillId="0" borderId="69" xfId="1" applyNumberFormat="1" applyFont="1" applyBorder="1" applyAlignment="1" applyProtection="1">
      <alignment horizontal="center"/>
      <protection hidden="1"/>
    </xf>
    <xf numFmtId="2" fontId="7" fillId="0" borderId="70" xfId="1" applyNumberFormat="1" applyFont="1" applyBorder="1" applyAlignment="1" applyProtection="1">
      <alignment horizontal="center"/>
      <protection hidden="1"/>
    </xf>
    <xf numFmtId="1" fontId="6" fillId="0" borderId="45" xfId="1" applyNumberFormat="1" applyFont="1" applyBorder="1" applyAlignment="1" applyProtection="1">
      <alignment horizontal="center"/>
      <protection hidden="1"/>
    </xf>
    <xf numFmtId="2" fontId="7" fillId="0" borderId="71" xfId="1" applyNumberFormat="1" applyFont="1" applyBorder="1" applyAlignment="1" applyProtection="1">
      <alignment horizontal="center"/>
      <protection hidden="1"/>
    </xf>
    <xf numFmtId="0" fontId="6" fillId="0" borderId="72" xfId="1" applyFont="1" applyBorder="1" applyAlignment="1" applyProtection="1">
      <alignment horizontal="center"/>
      <protection locked="0"/>
    </xf>
    <xf numFmtId="0" fontId="6" fillId="0" borderId="5" xfId="1" applyFont="1" applyBorder="1" applyAlignment="1" applyProtection="1">
      <alignment horizontal="center"/>
      <protection locked="0"/>
    </xf>
    <xf numFmtId="2" fontId="7" fillId="0" borderId="73" xfId="1" applyNumberFormat="1" applyFont="1" applyBorder="1" applyAlignment="1" applyProtection="1">
      <alignment horizontal="center"/>
      <protection hidden="1"/>
    </xf>
    <xf numFmtId="0" fontId="6" fillId="0" borderId="74" xfId="1" applyFont="1" applyBorder="1" applyAlignment="1" applyProtection="1">
      <alignment horizontal="center"/>
      <protection locked="0"/>
    </xf>
    <xf numFmtId="0" fontId="6" fillId="0" borderId="13" xfId="1" applyFont="1" applyBorder="1" applyAlignment="1" applyProtection="1">
      <alignment horizontal="center"/>
      <protection locked="0"/>
    </xf>
    <xf numFmtId="0" fontId="7" fillId="0" borderId="49" xfId="1" applyFont="1" applyBorder="1" applyAlignment="1" applyProtection="1">
      <alignment horizontal="center"/>
      <protection locked="0"/>
    </xf>
    <xf numFmtId="164" fontId="6" fillId="0" borderId="49" xfId="1" applyNumberFormat="1" applyFont="1" applyBorder="1" applyAlignment="1" applyProtection="1">
      <alignment horizontal="left"/>
      <protection hidden="1"/>
    </xf>
    <xf numFmtId="1" fontId="6" fillId="0" borderId="75" xfId="1" applyNumberFormat="1" applyFont="1" applyBorder="1" applyAlignment="1" applyProtection="1">
      <alignment horizontal="center"/>
      <protection hidden="1"/>
    </xf>
    <xf numFmtId="2" fontId="7" fillId="0" borderId="75" xfId="1" applyNumberFormat="1" applyFont="1" applyBorder="1" applyAlignment="1" applyProtection="1">
      <alignment horizontal="center"/>
      <protection hidden="1"/>
    </xf>
    <xf numFmtId="2" fontId="7" fillId="0" borderId="30" xfId="1" applyNumberFormat="1" applyFont="1" applyBorder="1" applyAlignment="1" applyProtection="1">
      <alignment horizontal="center"/>
      <protection hidden="1"/>
    </xf>
    <xf numFmtId="0" fontId="6" fillId="0" borderId="76" xfId="1" applyFont="1" applyBorder="1" applyAlignment="1" applyProtection="1">
      <alignment horizontal="center"/>
      <protection locked="0"/>
    </xf>
    <xf numFmtId="0" fontId="6" fillId="0" borderId="50" xfId="1" applyFont="1" applyBorder="1" applyAlignment="1" applyProtection="1">
      <alignment horizontal="center"/>
      <protection locked="0"/>
    </xf>
    <xf numFmtId="2" fontId="7" fillId="0" borderId="77" xfId="1" applyNumberFormat="1" applyFont="1" applyBorder="1" applyAlignment="1" applyProtection="1">
      <alignment horizontal="center"/>
      <protection hidden="1"/>
    </xf>
    <xf numFmtId="1" fontId="7" fillId="0" borderId="78" xfId="1" applyNumberFormat="1" applyFont="1" applyBorder="1" applyAlignment="1" applyProtection="1">
      <alignment horizontal="center"/>
      <protection hidden="1"/>
    </xf>
    <xf numFmtId="0" fontId="7" fillId="10" borderId="9" xfId="1" applyFont="1" applyFill="1" applyBorder="1" applyAlignment="1" applyProtection="1">
      <alignment horizontal="center" shrinkToFit="1"/>
      <protection locked="0"/>
    </xf>
    <xf numFmtId="0" fontId="6" fillId="10" borderId="17" xfId="1" applyFont="1" applyFill="1" applyBorder="1" applyAlignment="1" applyProtection="1">
      <alignment horizontal="center"/>
      <protection locked="0"/>
    </xf>
    <xf numFmtId="0" fontId="6" fillId="10" borderId="18" xfId="1" applyFont="1" applyFill="1" applyBorder="1" applyAlignment="1" applyProtection="1">
      <alignment horizontal="center"/>
      <protection locked="0"/>
    </xf>
    <xf numFmtId="0" fontId="6" fillId="10" borderId="19" xfId="1" applyFont="1" applyFill="1" applyBorder="1" applyAlignment="1" applyProtection="1">
      <alignment horizontal="center"/>
      <protection locked="0"/>
    </xf>
    <xf numFmtId="0" fontId="6" fillId="10" borderId="79" xfId="1" applyFont="1" applyFill="1" applyBorder="1" applyAlignment="1" applyProtection="1">
      <alignment horizontal="center"/>
      <protection locked="0"/>
    </xf>
    <xf numFmtId="0" fontId="6" fillId="10" borderId="16" xfId="1" applyFont="1" applyFill="1" applyBorder="1" applyAlignment="1" applyProtection="1">
      <alignment horizontal="center"/>
      <protection locked="0"/>
    </xf>
    <xf numFmtId="0" fontId="6" fillId="10" borderId="10" xfId="1" applyFont="1" applyFill="1" applyBorder="1" applyAlignment="1" applyProtection="1">
      <alignment horizontal="center"/>
      <protection locked="0"/>
    </xf>
    <xf numFmtId="2" fontId="7" fillId="10" borderId="16" xfId="1" applyNumberFormat="1" applyFont="1" applyFill="1" applyBorder="1" applyAlignment="1" applyProtection="1">
      <alignment horizontal="center"/>
      <protection locked="0"/>
    </xf>
    <xf numFmtId="2" fontId="7" fillId="10" borderId="80" xfId="1" applyNumberFormat="1" applyFont="1" applyFill="1" applyBorder="1" applyAlignment="1" applyProtection="1">
      <alignment horizontal="center"/>
      <protection locked="0"/>
    </xf>
    <xf numFmtId="2" fontId="7" fillId="10" borderId="81" xfId="1" applyNumberFormat="1" applyFont="1" applyFill="1" applyBorder="1" applyAlignment="1" applyProtection="1">
      <alignment horizontal="center"/>
      <protection locked="0"/>
    </xf>
    <xf numFmtId="1" fontId="7" fillId="10" borderId="11" xfId="1" applyNumberFormat="1" applyFont="1" applyFill="1" applyBorder="1" applyAlignment="1" applyProtection="1">
      <alignment horizontal="center"/>
      <protection locked="0"/>
    </xf>
    <xf numFmtId="164" fontId="14" fillId="0" borderId="66" xfId="1" applyNumberFormat="1" applyFont="1" applyBorder="1" applyAlignment="1" applyProtection="1">
      <alignment horizontal="left" vertical="center" wrapText="1"/>
      <protection locked="0"/>
    </xf>
    <xf numFmtId="0" fontId="7" fillId="0" borderId="53" xfId="1" applyFont="1" applyBorder="1" applyAlignment="1" applyProtection="1">
      <alignment horizontal="center"/>
      <protection locked="0"/>
    </xf>
    <xf numFmtId="164" fontId="6" fillId="0" borderId="53" xfId="1" applyNumberFormat="1" applyFont="1" applyBorder="1" applyAlignment="1" applyProtection="1">
      <alignment horizontal="left"/>
      <protection hidden="1"/>
    </xf>
    <xf numFmtId="164" fontId="14" fillId="0" borderId="54" xfId="1" applyNumberFormat="1" applyFont="1" applyBorder="1" applyAlignment="1" applyProtection="1">
      <alignment horizontal="left" vertical="center" wrapText="1"/>
      <protection locked="0"/>
    </xf>
    <xf numFmtId="164" fontId="14" fillId="0" borderId="55" xfId="1" applyNumberFormat="1" applyFont="1" applyBorder="1" applyAlignment="1" applyProtection="1">
      <alignment horizontal="left" vertical="center" wrapText="1"/>
      <protection locked="0"/>
    </xf>
    <xf numFmtId="1" fontId="6" fillId="0" borderId="52" xfId="1" applyNumberFormat="1" applyFont="1" applyBorder="1" applyAlignment="1" applyProtection="1">
      <alignment horizontal="center"/>
      <protection hidden="1"/>
    </xf>
    <xf numFmtId="2" fontId="7" fillId="0" borderId="52" xfId="1" applyNumberFormat="1" applyFont="1" applyBorder="1" applyAlignment="1" applyProtection="1">
      <alignment horizontal="center"/>
      <protection hidden="1"/>
    </xf>
    <xf numFmtId="2" fontId="7" fillId="0" borderId="82" xfId="1" applyNumberFormat="1" applyFont="1" applyBorder="1" applyAlignment="1" applyProtection="1">
      <alignment horizontal="center"/>
      <protection hidden="1"/>
    </xf>
    <xf numFmtId="0" fontId="6" fillId="0" borderId="83" xfId="1" applyFont="1" applyBorder="1" applyAlignment="1" applyProtection="1">
      <alignment horizontal="center"/>
      <protection locked="0"/>
    </xf>
    <xf numFmtId="0" fontId="6" fillId="0" borderId="54" xfId="1" applyFont="1" applyBorder="1" applyAlignment="1" applyProtection="1">
      <alignment horizontal="center"/>
      <protection locked="0"/>
    </xf>
    <xf numFmtId="2" fontId="7" fillId="0" borderId="84" xfId="1" applyNumberFormat="1" applyFont="1" applyBorder="1" applyAlignment="1" applyProtection="1">
      <alignment horizontal="center"/>
      <protection hidden="1"/>
    </xf>
    <xf numFmtId="1" fontId="7" fillId="0" borderId="55" xfId="1" applyNumberFormat="1" applyFont="1" applyBorder="1" applyAlignment="1" applyProtection="1">
      <alignment horizontal="center"/>
      <protection hidden="1"/>
    </xf>
    <xf numFmtId="0" fontId="16" fillId="0" borderId="40" xfId="1" applyFont="1" applyBorder="1"/>
    <xf numFmtId="0" fontId="16" fillId="0" borderId="47" xfId="1" applyFont="1" applyBorder="1"/>
    <xf numFmtId="0" fontId="16" fillId="0" borderId="49" xfId="1" applyFont="1" applyBorder="1"/>
    <xf numFmtId="0" fontId="7" fillId="10" borderId="9" xfId="1" applyFont="1" applyFill="1" applyBorder="1" applyAlignment="1" applyProtection="1">
      <alignment horizontal="left" vertical="center" shrinkToFit="1"/>
      <protection locked="0"/>
    </xf>
    <xf numFmtId="0" fontId="7" fillId="10" borderId="10" xfId="1" applyFont="1" applyFill="1" applyBorder="1" applyAlignment="1" applyProtection="1">
      <alignment horizontal="left" vertical="center" shrinkToFit="1"/>
      <protection locked="0"/>
    </xf>
    <xf numFmtId="0" fontId="7" fillId="10" borderId="11" xfId="1" applyFont="1" applyFill="1" applyBorder="1" applyAlignment="1" applyProtection="1">
      <alignment horizontal="left" vertical="center" shrinkToFit="1"/>
      <protection locked="0"/>
    </xf>
    <xf numFmtId="0" fontId="7" fillId="0" borderId="0" xfId="1" applyFont="1" applyAlignment="1" applyProtection="1">
      <alignment shrinkToFit="1"/>
      <protection locked="0"/>
    </xf>
    <xf numFmtId="0" fontId="7" fillId="0" borderId="0" xfId="1" applyFont="1" applyProtection="1">
      <protection locked="0"/>
    </xf>
    <xf numFmtId="0" fontId="7" fillId="0" borderId="0" xfId="1" applyFont="1" applyAlignment="1" applyProtection="1">
      <alignment horizontal="left"/>
      <protection locked="0"/>
    </xf>
    <xf numFmtId="0" fontId="13" fillId="0" borderId="53" xfId="1" applyFont="1" applyBorder="1" applyAlignment="1">
      <alignment horizontal="left"/>
    </xf>
    <xf numFmtId="0" fontId="13" fillId="0" borderId="54" xfId="1" applyFont="1" applyBorder="1" applyAlignment="1">
      <alignment horizontal="left"/>
    </xf>
    <xf numFmtId="0" fontId="13" fillId="0" borderId="55" xfId="1" applyFont="1" applyBorder="1" applyAlignment="1">
      <alignment horizontal="left"/>
    </xf>
    <xf numFmtId="0" fontId="7" fillId="0" borderId="0" xfId="1" applyFont="1" applyAlignment="1" applyProtection="1">
      <alignment vertical="center"/>
      <protection locked="0"/>
    </xf>
    <xf numFmtId="0" fontId="7" fillId="0" borderId="9" xfId="1" applyFont="1" applyBorder="1" applyAlignment="1" applyProtection="1">
      <alignment horizontal="right" shrinkToFit="1"/>
      <protection locked="0"/>
    </xf>
    <xf numFmtId="0" fontId="7" fillId="0" borderId="10" xfId="1" applyFont="1" applyBorder="1" applyAlignment="1" applyProtection="1">
      <alignment horizontal="right" shrinkToFit="1"/>
      <protection locked="0"/>
    </xf>
    <xf numFmtId="164" fontId="6" fillId="0" borderId="9" xfId="1" applyNumberFormat="1" applyFont="1" applyBorder="1" applyAlignment="1" applyProtection="1">
      <alignment horizontal="center" vertical="center" shrinkToFit="1"/>
      <protection hidden="1"/>
    </xf>
    <xf numFmtId="164" fontId="6" fillId="0" borderId="10" xfId="1" applyNumberFormat="1" applyFont="1" applyBorder="1" applyAlignment="1" applyProtection="1">
      <alignment horizontal="center" vertical="center" shrinkToFit="1"/>
      <protection hidden="1"/>
    </xf>
    <xf numFmtId="164" fontId="6" fillId="0" borderId="11" xfId="1" applyNumberFormat="1" applyFont="1" applyBorder="1" applyAlignment="1" applyProtection="1">
      <alignment horizontal="center" vertical="center" shrinkToFit="1"/>
      <protection hidden="1"/>
    </xf>
    <xf numFmtId="0" fontId="10" fillId="0" borderId="6" xfId="1" applyFont="1" applyBorder="1" applyAlignment="1" applyProtection="1">
      <alignment horizontal="center" vertical="center" wrapText="1"/>
      <protection locked="0"/>
    </xf>
    <xf numFmtId="0" fontId="10" fillId="0" borderId="7" xfId="1" applyFont="1" applyBorder="1" applyAlignment="1" applyProtection="1">
      <alignment horizontal="center" vertical="center" wrapText="1"/>
      <protection locked="0"/>
    </xf>
    <xf numFmtId="0" fontId="10" fillId="0" borderId="17" xfId="1" applyFont="1" applyBorder="1" applyAlignment="1" applyProtection="1">
      <alignment horizontal="center" vertical="center"/>
      <protection locked="0"/>
    </xf>
    <xf numFmtId="0" fontId="10" fillId="0" borderId="18" xfId="1" applyFont="1" applyBorder="1" applyAlignment="1" applyProtection="1">
      <alignment horizontal="center" vertical="center"/>
      <protection locked="0"/>
    </xf>
    <xf numFmtId="0" fontId="10" fillId="0" borderId="19" xfId="1" applyFont="1" applyBorder="1" applyAlignment="1" applyProtection="1">
      <alignment horizontal="center" vertical="center"/>
      <protection locked="0"/>
    </xf>
    <xf numFmtId="0" fontId="10" fillId="0" borderId="20" xfId="1" applyFont="1" applyBorder="1" applyAlignment="1" applyProtection="1">
      <alignment horizontal="center" vertical="center" wrapText="1"/>
      <protection locked="0"/>
    </xf>
    <xf numFmtId="0" fontId="10" fillId="0" borderId="21" xfId="1" applyFont="1" applyBorder="1" applyAlignment="1" applyProtection="1">
      <alignment horizontal="center" vertical="center" wrapText="1"/>
      <protection locked="0"/>
    </xf>
    <xf numFmtId="0" fontId="10" fillId="0" borderId="22" xfId="1" applyFont="1" applyBorder="1" applyAlignment="1" applyProtection="1">
      <alignment horizontal="center" vertical="center" wrapText="1"/>
      <protection locked="0"/>
    </xf>
    <xf numFmtId="2" fontId="7" fillId="0" borderId="30" xfId="3" applyNumberFormat="1" applyFont="1" applyFill="1" applyBorder="1" applyAlignment="1" applyProtection="1">
      <alignment horizontal="center" vertical="top"/>
      <protection locked="0"/>
    </xf>
    <xf numFmtId="2" fontId="7" fillId="0" borderId="36" xfId="3" applyNumberFormat="1" applyFont="1" applyFill="1" applyBorder="1" applyAlignment="1" applyProtection="1">
      <alignment horizontal="center" vertical="top"/>
      <protection locked="0"/>
    </xf>
    <xf numFmtId="2" fontId="7" fillId="0" borderId="31" xfId="3" applyNumberFormat="1" applyFont="1" applyFill="1" applyBorder="1" applyAlignment="1" applyProtection="1">
      <alignment horizontal="center" vertical="top"/>
      <protection locked="0"/>
    </xf>
    <xf numFmtId="2" fontId="7" fillId="0" borderId="37" xfId="3" applyNumberFormat="1" applyFont="1" applyFill="1" applyBorder="1" applyAlignment="1" applyProtection="1">
      <alignment horizontal="center" vertical="top"/>
      <protection locked="0"/>
    </xf>
    <xf numFmtId="0" fontId="7" fillId="0" borderId="9" xfId="1" applyFont="1" applyBorder="1" applyAlignment="1" applyProtection="1">
      <alignment horizontal="center" vertical="center"/>
      <protection locked="0"/>
    </xf>
    <xf numFmtId="0" fontId="7" fillId="0" borderId="10" xfId="1" applyFont="1" applyBorder="1" applyAlignment="1" applyProtection="1">
      <alignment horizontal="center" vertical="center"/>
      <protection locked="0"/>
    </xf>
    <xf numFmtId="0" fontId="7" fillId="0" borderId="11" xfId="1" applyFont="1" applyBorder="1" applyAlignment="1" applyProtection="1">
      <alignment horizontal="center" vertical="center"/>
      <protection locked="0"/>
    </xf>
    <xf numFmtId="0" fontId="7" fillId="0" borderId="6" xfId="1" applyFont="1" applyBorder="1" applyAlignment="1" applyProtection="1">
      <alignment horizontal="right" vertical="center"/>
      <protection locked="0"/>
    </xf>
    <xf numFmtId="0" fontId="7" fillId="0" borderId="7" xfId="1" applyFont="1" applyBorder="1" applyAlignment="1" applyProtection="1">
      <alignment horizontal="right" vertical="center"/>
      <protection locked="0"/>
    </xf>
    <xf numFmtId="164" fontId="6" fillId="0" borderId="9" xfId="1" applyNumberFormat="1" applyFont="1" applyBorder="1" applyAlignment="1" applyProtection="1">
      <alignment horizontal="center" vertical="center"/>
      <protection hidden="1"/>
    </xf>
    <xf numFmtId="164" fontId="6" fillId="0" borderId="10" xfId="1" applyNumberFormat="1" applyFont="1" applyBorder="1" applyAlignment="1" applyProtection="1">
      <alignment horizontal="center" vertical="center"/>
      <protection hidden="1"/>
    </xf>
    <xf numFmtId="164" fontId="6" fillId="0" borderId="11" xfId="1" applyNumberFormat="1" applyFont="1" applyBorder="1" applyAlignment="1" applyProtection="1">
      <alignment horizontal="center" vertical="center"/>
      <protection hidden="1"/>
    </xf>
    <xf numFmtId="164" fontId="7" fillId="0" borderId="9" xfId="1" applyNumberFormat="1" applyFont="1" applyBorder="1" applyAlignment="1" applyProtection="1">
      <alignment horizontal="center" vertical="center"/>
      <protection locked="0"/>
    </xf>
    <xf numFmtId="164" fontId="7" fillId="0" borderId="11" xfId="1" applyNumberFormat="1" applyFont="1" applyBorder="1" applyAlignment="1" applyProtection="1">
      <alignment horizontal="center" vertical="center"/>
      <protection locked="0"/>
    </xf>
    <xf numFmtId="164" fontId="6" fillId="0" borderId="7" xfId="1" applyNumberFormat="1" applyFont="1" applyBorder="1" applyAlignment="1" applyProtection="1">
      <alignment horizontal="center" vertical="center"/>
      <protection hidden="1"/>
    </xf>
    <xf numFmtId="164" fontId="6" fillId="0" borderId="8" xfId="1" applyNumberFormat="1" applyFont="1" applyBorder="1" applyAlignment="1" applyProtection="1">
      <alignment horizontal="center" vertical="center"/>
      <protection hidden="1"/>
    </xf>
    <xf numFmtId="164" fontId="7" fillId="0" borderId="6" xfId="1" applyNumberFormat="1" applyFont="1" applyBorder="1" applyAlignment="1" applyProtection="1">
      <alignment horizontal="right" vertical="center"/>
      <protection locked="0"/>
    </xf>
    <xf numFmtId="164" fontId="7" fillId="0" borderId="7" xfId="1" applyNumberFormat="1" applyFont="1" applyBorder="1" applyAlignment="1" applyProtection="1">
      <alignment horizontal="right" vertical="center"/>
      <protection locked="0"/>
    </xf>
    <xf numFmtId="0" fontId="10" fillId="0" borderId="0" xfId="1" applyFont="1" applyAlignment="1" applyProtection="1">
      <alignment horizontal="right" vertical="center"/>
      <protection locked="0"/>
    </xf>
    <xf numFmtId="164" fontId="11" fillId="0" borderId="9" xfId="1" applyNumberFormat="1" applyFont="1" applyBorder="1" applyAlignment="1" applyProtection="1">
      <alignment horizontal="center" vertical="center"/>
      <protection hidden="1"/>
    </xf>
    <xf numFmtId="164" fontId="11" fillId="0" borderId="10" xfId="1" applyNumberFormat="1" applyFont="1" applyBorder="1" applyAlignment="1" applyProtection="1">
      <alignment horizontal="center" vertical="center"/>
      <protection hidden="1"/>
    </xf>
    <xf numFmtId="164" fontId="11" fillId="0" borderId="11" xfId="1" applyNumberFormat="1" applyFont="1" applyBorder="1" applyAlignment="1" applyProtection="1">
      <alignment horizontal="center" vertical="center"/>
      <protection hidden="1"/>
    </xf>
    <xf numFmtId="164" fontId="10" fillId="0" borderId="0" xfId="1" applyNumberFormat="1" applyFont="1" applyAlignment="1" applyProtection="1">
      <alignment horizontal="right" vertical="center"/>
      <protection hidden="1"/>
    </xf>
    <xf numFmtId="164" fontId="10" fillId="0" borderId="0" xfId="1" applyNumberFormat="1" applyFont="1" applyAlignment="1" applyProtection="1">
      <alignment horizontal="right" vertical="center"/>
      <protection locked="0"/>
    </xf>
    <xf numFmtId="164" fontId="10" fillId="0" borderId="12" xfId="1" applyNumberFormat="1" applyFont="1" applyBorder="1" applyAlignment="1" applyProtection="1">
      <alignment horizontal="right" vertical="center"/>
      <protection locked="0"/>
    </xf>
    <xf numFmtId="164" fontId="12" fillId="0" borderId="3" xfId="1" applyNumberFormat="1" applyFont="1" applyBorder="1" applyAlignment="1" applyProtection="1">
      <alignment horizontal="center" vertical="center"/>
      <protection hidden="1"/>
    </xf>
    <xf numFmtId="164" fontId="12" fillId="0" borderId="13" xfId="1" applyNumberFormat="1" applyFont="1" applyBorder="1" applyAlignment="1" applyProtection="1">
      <alignment horizontal="center" vertical="center"/>
      <protection hidden="1"/>
    </xf>
    <xf numFmtId="164" fontId="12" fillId="0" borderId="14" xfId="1" applyNumberFormat="1" applyFont="1" applyBorder="1" applyAlignment="1" applyProtection="1">
      <alignment horizontal="center" vertical="center"/>
      <protection hidden="1"/>
    </xf>
    <xf numFmtId="0" fontId="5" fillId="0" borderId="0" xfId="1" applyFont="1" applyAlignment="1" applyProtection="1">
      <alignment horizontal="center" vertical="top" wrapText="1"/>
      <protection locked="0"/>
    </xf>
    <xf numFmtId="0" fontId="8" fillId="0" borderId="0" xfId="1" applyFont="1" applyAlignment="1" applyProtection="1">
      <alignment horizontal="center" vertical="top" wrapText="1"/>
      <protection locked="0"/>
    </xf>
    <xf numFmtId="164" fontId="11" fillId="0" borderId="6" xfId="1" applyNumberFormat="1" applyFont="1" applyBorder="1" applyAlignment="1" applyProtection="1">
      <alignment horizontal="center" vertical="center" shrinkToFit="1"/>
      <protection hidden="1"/>
    </xf>
    <xf numFmtId="164" fontId="11" fillId="0" borderId="7" xfId="1" applyNumberFormat="1" applyFont="1" applyBorder="1" applyAlignment="1" applyProtection="1">
      <alignment horizontal="center" vertical="center" shrinkToFit="1"/>
      <protection hidden="1"/>
    </xf>
    <xf numFmtId="164" fontId="11" fillId="0" borderId="8" xfId="1" applyNumberFormat="1" applyFont="1" applyBorder="1" applyAlignment="1" applyProtection="1">
      <alignment horizontal="center" vertical="center" shrinkToFit="1"/>
      <protection hidden="1"/>
    </xf>
    <xf numFmtId="164" fontId="11" fillId="0" borderId="9" xfId="1" applyNumberFormat="1" applyFont="1" applyBorder="1" applyAlignment="1" applyProtection="1">
      <alignment horizontal="center" vertical="center" shrinkToFit="1"/>
      <protection hidden="1"/>
    </xf>
    <xf numFmtId="164" fontId="11" fillId="0" borderId="10" xfId="1" applyNumberFormat="1" applyFont="1" applyBorder="1" applyAlignment="1" applyProtection="1">
      <alignment horizontal="center" vertical="center" shrinkToFit="1"/>
      <protection hidden="1"/>
    </xf>
    <xf numFmtId="164" fontId="11" fillId="0" borderId="11" xfId="1" applyNumberFormat="1" applyFont="1" applyBorder="1" applyAlignment="1" applyProtection="1">
      <alignment horizontal="center" vertical="center" shrinkToFit="1"/>
      <protection hidden="1"/>
    </xf>
    <xf numFmtId="164" fontId="11" fillId="0" borderId="0" xfId="1" applyNumberFormat="1" applyFont="1" applyAlignment="1" applyProtection="1">
      <alignment horizontal="center" vertical="center"/>
      <protection hidden="1"/>
    </xf>
  </cellXfs>
  <cellStyles count="4">
    <cellStyle name="Normal" xfId="0" builtinId="0"/>
    <cellStyle name="Normal 2" xfId="1" xr:uid="{EDAB4B76-7EBD-46AA-96EF-810FCFF34898}"/>
    <cellStyle name="Normal 3" xfId="2" xr:uid="{8B48240C-76AF-45D7-BD4F-6F8FDD7A0E69}"/>
    <cellStyle name="Percent 2" xfId="3" xr:uid="{D4D844E4-4DD1-4E0B-9010-810344D579F5}"/>
  </cellStyles>
  <dxfs count="2">
    <dxf>
      <fill>
        <patternFill patternType="solid">
          <bgColor rgb="FFE7E7F7"/>
        </patternFill>
      </fill>
    </dxf>
    <dxf>
      <font>
        <b/>
        <sz val="11"/>
        <color rgb="FFFFFFFF"/>
        <name val="Segoe UI"/>
      </font>
      <fill>
        <patternFill patternType="solid">
          <fgColor rgb="FF5B5FC7"/>
          <bgColor rgb="FF5B5FC7"/>
        </patternFill>
      </fill>
      <border>
        <bottom style="thin">
          <color auto="1"/>
        </bottom>
      </border>
    </dxf>
  </dxfs>
  <tableStyles count="1" defaultTableStyle="TableStyleMedium2" defaultPivotStyle="PivotStyleLight16">
    <tableStyle name="Assignments Export" pivot="0" count="2" xr9:uid="{B98397D4-B9FE-4B45-A12E-C19BE2B1BB3F}">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2" name="Picture 1" descr="http://depedverify.appspot.com/img/logo.gif">
          <a:extLst>
            <a:ext uri="{FF2B5EF4-FFF2-40B4-BE49-F238E27FC236}">
              <a16:creationId xmlns:a16="http://schemas.microsoft.com/office/drawing/2014/main" id="{E1CA5D2E-BD9C-4E8F-8D92-4DF795D3C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66839" y="0"/>
          <a:ext cx="207209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3" name="Picture 19">
          <a:extLst>
            <a:ext uri="{FF2B5EF4-FFF2-40B4-BE49-F238E27FC236}">
              <a16:creationId xmlns:a16="http://schemas.microsoft.com/office/drawing/2014/main" id="{F8D5A627-2197-456B-A60A-15E1BBF75D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0990"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a:extLst>
            <a:ext uri="{FF2B5EF4-FFF2-40B4-BE49-F238E27FC236}">
              <a16:creationId xmlns:a16="http://schemas.microsoft.com/office/drawing/2014/main" id="{DBEAB0CF-829E-4C41-BE36-3E82902235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66839" y="0"/>
          <a:ext cx="207209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aniell\Downloads\REYES_CLASSREC_QUARTERLYGRADE1.xlsx" TargetMode="External"/><Relationship Id="rId1" Type="http://schemas.openxmlformats.org/officeDocument/2006/relationships/externalLinkPath" Target="file:///C:\Users\Daniell\Downloads\REYES_CLASSREC_QUARTERLYGRADE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ADES"/>
      <sheetName val="Sheet3"/>
      <sheetName val="DO NOT DELETE"/>
    </sheetNames>
    <sheetDataSet>
      <sheetData sheetId="0" refreshError="1"/>
      <sheetData sheetId="1" refreshError="1"/>
      <sheetData sheetId="2">
        <row r="2">
          <cell r="G2">
            <v>0</v>
          </cell>
          <cell r="H2" t="str">
            <v>-</v>
          </cell>
          <cell r="I2">
            <v>3.99</v>
          </cell>
          <cell r="J2">
            <v>60</v>
          </cell>
        </row>
        <row r="3">
          <cell r="G3">
            <v>4</v>
          </cell>
          <cell r="H3" t="str">
            <v>-</v>
          </cell>
          <cell r="I3">
            <v>7.99</v>
          </cell>
          <cell r="J3">
            <v>61</v>
          </cell>
        </row>
        <row r="4">
          <cell r="G4">
            <v>8</v>
          </cell>
          <cell r="H4" t="str">
            <v>-</v>
          </cell>
          <cell r="I4">
            <v>11.99</v>
          </cell>
          <cell r="J4">
            <v>62</v>
          </cell>
        </row>
        <row r="5">
          <cell r="G5">
            <v>12</v>
          </cell>
          <cell r="H5" t="str">
            <v>-</v>
          </cell>
          <cell r="I5">
            <v>15.99</v>
          </cell>
          <cell r="J5">
            <v>63</v>
          </cell>
        </row>
        <row r="6">
          <cell r="G6">
            <v>16</v>
          </cell>
          <cell r="H6" t="str">
            <v>-</v>
          </cell>
          <cell r="I6">
            <v>19.990000000000002</v>
          </cell>
          <cell r="J6">
            <v>64</v>
          </cell>
        </row>
        <row r="7">
          <cell r="G7">
            <v>20</v>
          </cell>
          <cell r="H7" t="str">
            <v>-</v>
          </cell>
          <cell r="I7">
            <v>23.990000000000002</v>
          </cell>
          <cell r="J7">
            <v>65</v>
          </cell>
        </row>
        <row r="8">
          <cell r="G8">
            <v>24</v>
          </cell>
          <cell r="H8" t="str">
            <v>-</v>
          </cell>
          <cell r="I8">
            <v>27.990000000000002</v>
          </cell>
          <cell r="J8">
            <v>66</v>
          </cell>
        </row>
        <row r="9">
          <cell r="G9">
            <v>28</v>
          </cell>
          <cell r="H9" t="str">
            <v>-</v>
          </cell>
          <cell r="I9">
            <v>31.990000000000002</v>
          </cell>
          <cell r="J9">
            <v>67</v>
          </cell>
        </row>
        <row r="10">
          <cell r="G10">
            <v>32</v>
          </cell>
          <cell r="H10" t="str">
            <v>-</v>
          </cell>
          <cell r="I10">
            <v>35.99</v>
          </cell>
          <cell r="J10">
            <v>68</v>
          </cell>
        </row>
        <row r="11">
          <cell r="G11">
            <v>36</v>
          </cell>
          <cell r="H11" t="str">
            <v>-</v>
          </cell>
          <cell r="I11">
            <v>39.99</v>
          </cell>
          <cell r="J11">
            <v>69</v>
          </cell>
        </row>
        <row r="12">
          <cell r="G12">
            <v>40</v>
          </cell>
          <cell r="H12" t="str">
            <v>-</v>
          </cell>
          <cell r="I12">
            <v>43.99</v>
          </cell>
          <cell r="J12">
            <v>70</v>
          </cell>
        </row>
        <row r="13">
          <cell r="G13">
            <v>44</v>
          </cell>
          <cell r="H13" t="str">
            <v>-</v>
          </cell>
          <cell r="I13">
            <v>47.99</v>
          </cell>
          <cell r="J13">
            <v>71</v>
          </cell>
        </row>
        <row r="14">
          <cell r="G14">
            <v>48</v>
          </cell>
          <cell r="H14" t="str">
            <v>-</v>
          </cell>
          <cell r="I14">
            <v>51.99</v>
          </cell>
          <cell r="J14">
            <v>72</v>
          </cell>
        </row>
        <row r="15">
          <cell r="G15">
            <v>52</v>
          </cell>
          <cell r="H15" t="str">
            <v>-</v>
          </cell>
          <cell r="I15">
            <v>55.99</v>
          </cell>
          <cell r="J15">
            <v>73</v>
          </cell>
        </row>
        <row r="16">
          <cell r="G16">
            <v>56</v>
          </cell>
          <cell r="H16" t="str">
            <v>-</v>
          </cell>
          <cell r="I16">
            <v>59.99</v>
          </cell>
          <cell r="J16">
            <v>74</v>
          </cell>
        </row>
        <row r="17">
          <cell r="G17">
            <v>60</v>
          </cell>
          <cell r="H17" t="str">
            <v>-</v>
          </cell>
          <cell r="I17">
            <v>61.59</v>
          </cell>
          <cell r="J17">
            <v>75</v>
          </cell>
        </row>
        <row r="18">
          <cell r="G18">
            <v>61.6</v>
          </cell>
          <cell r="H18" t="str">
            <v>-</v>
          </cell>
          <cell r="I18">
            <v>63.190000000000005</v>
          </cell>
          <cell r="J18">
            <v>76</v>
          </cell>
        </row>
        <row r="19">
          <cell r="G19">
            <v>63.2</v>
          </cell>
          <cell r="H19" t="str">
            <v>-</v>
          </cell>
          <cell r="I19">
            <v>64.790000000000006</v>
          </cell>
          <cell r="J19">
            <v>77</v>
          </cell>
        </row>
        <row r="20">
          <cell r="G20">
            <v>64.8</v>
          </cell>
          <cell r="H20" t="str">
            <v>-</v>
          </cell>
          <cell r="I20">
            <v>66.39</v>
          </cell>
          <cell r="J20">
            <v>78</v>
          </cell>
        </row>
        <row r="21">
          <cell r="G21">
            <v>66.400000000000006</v>
          </cell>
          <cell r="H21" t="str">
            <v>-</v>
          </cell>
          <cell r="I21">
            <v>67.990000000000009</v>
          </cell>
          <cell r="J21">
            <v>79</v>
          </cell>
        </row>
        <row r="22">
          <cell r="G22">
            <v>68</v>
          </cell>
          <cell r="H22" t="str">
            <v>-</v>
          </cell>
          <cell r="I22">
            <v>69.59</v>
          </cell>
          <cell r="J22">
            <v>80</v>
          </cell>
        </row>
        <row r="23">
          <cell r="G23">
            <v>69.599999999999994</v>
          </cell>
          <cell r="H23" t="str">
            <v>-</v>
          </cell>
          <cell r="I23">
            <v>71.19</v>
          </cell>
          <cell r="J23">
            <v>81</v>
          </cell>
        </row>
        <row r="24">
          <cell r="G24">
            <v>71.2</v>
          </cell>
          <cell r="H24" t="str">
            <v>-</v>
          </cell>
          <cell r="I24">
            <v>72.790000000000006</v>
          </cell>
          <cell r="J24">
            <v>82</v>
          </cell>
        </row>
        <row r="25">
          <cell r="G25">
            <v>72.8</v>
          </cell>
          <cell r="H25" t="str">
            <v>-</v>
          </cell>
          <cell r="I25">
            <v>74.39</v>
          </cell>
          <cell r="J25">
            <v>83</v>
          </cell>
        </row>
        <row r="26">
          <cell r="G26">
            <v>74.400000000000006</v>
          </cell>
          <cell r="H26" t="str">
            <v>-</v>
          </cell>
          <cell r="I26">
            <v>75.990000000000009</v>
          </cell>
          <cell r="J26">
            <v>84</v>
          </cell>
        </row>
        <row r="27">
          <cell r="G27">
            <v>76</v>
          </cell>
          <cell r="H27" t="str">
            <v>-</v>
          </cell>
          <cell r="I27">
            <v>77.59</v>
          </cell>
          <cell r="J27">
            <v>85</v>
          </cell>
        </row>
        <row r="28">
          <cell r="G28">
            <v>77.599999999999994</v>
          </cell>
          <cell r="H28" t="str">
            <v>-</v>
          </cell>
          <cell r="I28">
            <v>79.19</v>
          </cell>
          <cell r="J28">
            <v>86</v>
          </cell>
        </row>
        <row r="29">
          <cell r="G29">
            <v>79.2</v>
          </cell>
          <cell r="H29" t="str">
            <v>-</v>
          </cell>
          <cell r="I29">
            <v>80.790000000000006</v>
          </cell>
          <cell r="J29">
            <v>87</v>
          </cell>
        </row>
        <row r="30">
          <cell r="G30">
            <v>80.8</v>
          </cell>
          <cell r="H30" t="str">
            <v>-</v>
          </cell>
          <cell r="I30">
            <v>82.39</v>
          </cell>
          <cell r="J30">
            <v>88</v>
          </cell>
        </row>
        <row r="31">
          <cell r="G31">
            <v>82.4</v>
          </cell>
          <cell r="H31" t="str">
            <v>-</v>
          </cell>
          <cell r="I31">
            <v>83.990000000000009</v>
          </cell>
          <cell r="J31">
            <v>89</v>
          </cell>
        </row>
        <row r="32">
          <cell r="G32">
            <v>84</v>
          </cell>
          <cell r="H32" t="str">
            <v>-</v>
          </cell>
          <cell r="I32">
            <v>85.59</v>
          </cell>
          <cell r="J32">
            <v>90</v>
          </cell>
        </row>
        <row r="33">
          <cell r="G33">
            <v>85.6</v>
          </cell>
          <cell r="H33" t="str">
            <v>-</v>
          </cell>
          <cell r="I33">
            <v>87.19</v>
          </cell>
          <cell r="J33">
            <v>91</v>
          </cell>
        </row>
        <row r="34">
          <cell r="G34">
            <v>87.2</v>
          </cell>
          <cell r="H34" t="str">
            <v>-</v>
          </cell>
          <cell r="I34">
            <v>88.79</v>
          </cell>
          <cell r="J34">
            <v>92</v>
          </cell>
        </row>
        <row r="35">
          <cell r="G35">
            <v>88.8</v>
          </cell>
          <cell r="H35" t="str">
            <v>-</v>
          </cell>
          <cell r="I35">
            <v>90.39</v>
          </cell>
          <cell r="J35">
            <v>93</v>
          </cell>
        </row>
        <row r="36">
          <cell r="G36">
            <v>90.4</v>
          </cell>
          <cell r="H36" t="str">
            <v>-</v>
          </cell>
          <cell r="I36">
            <v>91.990000000000009</v>
          </cell>
          <cell r="J36">
            <v>94</v>
          </cell>
        </row>
        <row r="37">
          <cell r="G37">
            <v>92</v>
          </cell>
          <cell r="H37" t="str">
            <v>-</v>
          </cell>
          <cell r="I37">
            <v>93.59</v>
          </cell>
          <cell r="J37">
            <v>95</v>
          </cell>
        </row>
        <row r="38">
          <cell r="G38">
            <v>93.6</v>
          </cell>
          <cell r="H38" t="str">
            <v>-</v>
          </cell>
          <cell r="I38">
            <v>95.19</v>
          </cell>
          <cell r="J38">
            <v>96</v>
          </cell>
        </row>
        <row r="39">
          <cell r="G39">
            <v>95.2</v>
          </cell>
          <cell r="H39" t="str">
            <v>-</v>
          </cell>
          <cell r="I39">
            <v>96.79</v>
          </cell>
          <cell r="J39">
            <v>97</v>
          </cell>
        </row>
        <row r="40">
          <cell r="G40">
            <v>96.8</v>
          </cell>
          <cell r="H40" t="str">
            <v>-</v>
          </cell>
          <cell r="I40">
            <v>98.39</v>
          </cell>
          <cell r="J40">
            <v>98</v>
          </cell>
        </row>
        <row r="41">
          <cell r="G41">
            <v>98.4</v>
          </cell>
          <cell r="H41" t="str">
            <v>-</v>
          </cell>
          <cell r="I41">
            <v>99.990000000000009</v>
          </cell>
          <cell r="J41">
            <v>99</v>
          </cell>
        </row>
        <row r="42">
          <cell r="G42">
            <v>100</v>
          </cell>
          <cell r="H42" t="str">
            <v>-</v>
          </cell>
          <cell r="J42">
            <v>100</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AC339-35F8-49B2-8D92-FB4956CECAEE}">
  <dimension ref="A1:R20"/>
  <sheetViews>
    <sheetView workbookViewId="0">
      <pane xSplit="2" topLeftCell="C1" activePane="topRight" state="frozen"/>
      <selection pane="topRight" activeCell="D16" sqref="D16"/>
    </sheetView>
  </sheetViews>
  <sheetFormatPr defaultRowHeight="16.5" customHeight="1"/>
  <cols>
    <col min="1" max="1" width="3" bestFit="1" customWidth="1"/>
    <col min="2" max="2" width="9.3984375" customWidth="1"/>
    <col min="3" max="3" width="14.19921875" customWidth="1"/>
    <col min="4" max="4" width="25.8984375" customWidth="1"/>
    <col min="5" max="7" width="9" style="9"/>
    <col min="8" max="8" width="6.09765625" style="9" customWidth="1"/>
    <col min="9" max="9" width="9" style="9"/>
    <col min="10" max="10" width="13.19921875" style="12" bestFit="1" customWidth="1"/>
    <col min="11" max="12" width="9" style="9"/>
  </cols>
  <sheetData>
    <row r="1" spans="1:18" s="33" customFormat="1" ht="19.2">
      <c r="A1" s="24"/>
      <c r="B1" s="25" t="s">
        <v>38</v>
      </c>
      <c r="C1" s="24"/>
      <c r="D1" s="25" t="s">
        <v>38</v>
      </c>
      <c r="E1" s="26" t="s">
        <v>39</v>
      </c>
      <c r="F1" s="27" t="s">
        <v>40</v>
      </c>
      <c r="G1" s="28" t="s">
        <v>41</v>
      </c>
      <c r="H1" s="29" t="s">
        <v>42</v>
      </c>
      <c r="I1" s="30" t="s">
        <v>43</v>
      </c>
      <c r="J1" s="31" t="s">
        <v>44</v>
      </c>
      <c r="K1" s="28" t="s">
        <v>45</v>
      </c>
      <c r="L1" s="28" t="s">
        <v>46</v>
      </c>
      <c r="M1" s="28" t="s">
        <v>47</v>
      </c>
      <c r="N1" s="32" t="s">
        <v>48</v>
      </c>
      <c r="O1" s="28" t="s">
        <v>49</v>
      </c>
      <c r="P1" s="28" t="s">
        <v>50</v>
      </c>
      <c r="Q1" s="28" t="s">
        <v>51</v>
      </c>
      <c r="R1" s="34" t="s">
        <v>51</v>
      </c>
    </row>
    <row r="2" spans="1:18" ht="16.8">
      <c r="A2" s="1">
        <v>1</v>
      </c>
      <c r="B2" s="2" t="s">
        <v>1</v>
      </c>
      <c r="C2" s="2" t="s">
        <v>0</v>
      </c>
      <c r="D2" s="128" t="s">
        <v>107</v>
      </c>
      <c r="E2" s="5">
        <v>18</v>
      </c>
      <c r="F2" s="6">
        <v>18</v>
      </c>
      <c r="G2" s="6">
        <v>18</v>
      </c>
      <c r="H2" s="4">
        <v>15</v>
      </c>
      <c r="I2" s="10">
        <v>20</v>
      </c>
      <c r="J2" s="13">
        <v>20</v>
      </c>
      <c r="K2" s="6">
        <v>18</v>
      </c>
      <c r="L2" s="10">
        <v>20</v>
      </c>
      <c r="M2" s="19">
        <v>20</v>
      </c>
      <c r="N2" s="23">
        <v>4</v>
      </c>
      <c r="O2" s="6">
        <v>18</v>
      </c>
      <c r="P2" s="19">
        <v>20</v>
      </c>
      <c r="Q2" s="19">
        <v>20</v>
      </c>
      <c r="R2" s="36"/>
    </row>
    <row r="3" spans="1:18" ht="17.399999999999999" thickBot="1">
      <c r="A3" s="1">
        <v>2</v>
      </c>
      <c r="B3" s="1" t="s">
        <v>3</v>
      </c>
      <c r="C3" s="1" t="s">
        <v>2</v>
      </c>
      <c r="D3" s="128" t="s">
        <v>108</v>
      </c>
      <c r="E3" s="5">
        <v>18</v>
      </c>
      <c r="F3" s="6">
        <v>18</v>
      </c>
      <c r="G3" s="6">
        <v>18</v>
      </c>
      <c r="H3" s="4">
        <v>15</v>
      </c>
      <c r="I3" s="10">
        <v>20</v>
      </c>
      <c r="J3" s="13">
        <v>20</v>
      </c>
      <c r="K3" s="8">
        <v>0</v>
      </c>
      <c r="L3" s="8">
        <v>0</v>
      </c>
      <c r="M3" s="19">
        <v>20</v>
      </c>
      <c r="N3" s="23">
        <v>4</v>
      </c>
      <c r="O3" s="6">
        <v>18</v>
      </c>
      <c r="P3" s="19">
        <v>20</v>
      </c>
      <c r="Q3" s="19">
        <v>20</v>
      </c>
      <c r="R3" s="36"/>
    </row>
    <row r="4" spans="1:18" ht="16.8">
      <c r="A4" s="1">
        <v>3</v>
      </c>
      <c r="B4" s="2" t="s">
        <v>5</v>
      </c>
      <c r="C4" s="2" t="s">
        <v>4</v>
      </c>
      <c r="D4" s="191" t="s">
        <v>83</v>
      </c>
      <c r="E4" s="5">
        <v>18</v>
      </c>
      <c r="F4" s="6">
        <v>18</v>
      </c>
      <c r="G4" s="6">
        <v>18</v>
      </c>
      <c r="H4" s="4">
        <v>3</v>
      </c>
      <c r="I4" s="6">
        <v>18</v>
      </c>
      <c r="J4" s="14">
        <v>13</v>
      </c>
      <c r="K4" s="6">
        <v>18</v>
      </c>
      <c r="L4" s="6">
        <v>18</v>
      </c>
      <c r="M4" s="19">
        <v>20</v>
      </c>
      <c r="N4" s="23">
        <v>2</v>
      </c>
      <c r="O4" s="8">
        <v>0</v>
      </c>
      <c r="P4" s="22">
        <v>18</v>
      </c>
      <c r="Q4" s="22">
        <v>18</v>
      </c>
      <c r="R4" s="36"/>
    </row>
    <row r="5" spans="1:18" ht="16.8">
      <c r="A5" s="1">
        <v>4</v>
      </c>
      <c r="B5" s="1" t="s">
        <v>7</v>
      </c>
      <c r="C5" s="1" t="s">
        <v>6</v>
      </c>
      <c r="D5" s="192" t="s">
        <v>84</v>
      </c>
      <c r="E5" s="5">
        <v>18</v>
      </c>
      <c r="F5" s="6">
        <v>18</v>
      </c>
      <c r="G5" s="6">
        <v>18</v>
      </c>
      <c r="H5" s="4">
        <v>13</v>
      </c>
      <c r="I5" s="10">
        <v>20</v>
      </c>
      <c r="J5" s="13">
        <v>20</v>
      </c>
      <c r="K5" s="6">
        <v>18</v>
      </c>
      <c r="L5" s="10">
        <v>20</v>
      </c>
      <c r="M5" s="19">
        <v>20</v>
      </c>
      <c r="N5" s="23">
        <v>4</v>
      </c>
      <c r="O5" s="6">
        <v>18</v>
      </c>
      <c r="P5" s="19">
        <v>20</v>
      </c>
      <c r="Q5" s="19">
        <v>20</v>
      </c>
      <c r="R5" s="36"/>
    </row>
    <row r="6" spans="1:18" ht="16.8">
      <c r="A6" s="1">
        <v>5</v>
      </c>
      <c r="B6" s="2" t="s">
        <v>9</v>
      </c>
      <c r="C6" s="2" t="s">
        <v>8</v>
      </c>
      <c r="D6" s="192" t="s">
        <v>86</v>
      </c>
      <c r="E6" s="5">
        <v>18</v>
      </c>
      <c r="F6" s="6">
        <v>18</v>
      </c>
      <c r="G6" s="6">
        <v>18</v>
      </c>
      <c r="H6" s="4">
        <v>9</v>
      </c>
      <c r="I6" s="10">
        <v>20</v>
      </c>
      <c r="J6" s="13">
        <v>20</v>
      </c>
      <c r="K6" s="6">
        <v>18</v>
      </c>
      <c r="L6" s="10">
        <v>20</v>
      </c>
      <c r="M6" s="19">
        <v>20</v>
      </c>
      <c r="N6" s="23">
        <v>4</v>
      </c>
      <c r="O6" s="6">
        <v>18</v>
      </c>
      <c r="P6" s="19">
        <v>20</v>
      </c>
      <c r="Q6" s="19">
        <v>20</v>
      </c>
      <c r="R6" s="36"/>
    </row>
    <row r="7" spans="1:18" ht="16.8">
      <c r="A7" s="1">
        <v>6</v>
      </c>
      <c r="B7" s="1" t="s">
        <v>11</v>
      </c>
      <c r="C7" s="1" t="s">
        <v>10</v>
      </c>
      <c r="D7" s="192" t="s">
        <v>87</v>
      </c>
      <c r="E7" s="5">
        <v>18</v>
      </c>
      <c r="F7" s="6">
        <v>18</v>
      </c>
      <c r="G7" s="6">
        <v>18</v>
      </c>
      <c r="H7" s="4">
        <v>14</v>
      </c>
      <c r="I7" s="10">
        <v>20</v>
      </c>
      <c r="J7" s="13">
        <v>15</v>
      </c>
      <c r="K7" s="6">
        <v>18</v>
      </c>
      <c r="L7" s="10">
        <v>20</v>
      </c>
      <c r="M7" s="19">
        <v>20</v>
      </c>
      <c r="N7" s="23">
        <v>3</v>
      </c>
      <c r="O7" s="6">
        <v>18</v>
      </c>
      <c r="P7" s="19">
        <v>20</v>
      </c>
      <c r="Q7" s="19">
        <v>20</v>
      </c>
      <c r="R7" s="36"/>
    </row>
    <row r="8" spans="1:18" ht="16.8">
      <c r="A8" s="1">
        <v>7</v>
      </c>
      <c r="B8" s="2" t="s">
        <v>13</v>
      </c>
      <c r="C8" s="2" t="s">
        <v>12</v>
      </c>
      <c r="D8" s="142" t="s">
        <v>111</v>
      </c>
      <c r="E8" s="5">
        <v>18</v>
      </c>
      <c r="F8" s="6">
        <v>18</v>
      </c>
      <c r="G8" s="6">
        <v>18</v>
      </c>
      <c r="H8" s="4">
        <v>6</v>
      </c>
      <c r="I8" s="11">
        <v>15</v>
      </c>
      <c r="J8" s="13">
        <v>20</v>
      </c>
      <c r="K8" s="6">
        <v>18</v>
      </c>
      <c r="L8" s="11">
        <v>15</v>
      </c>
      <c r="M8" s="19">
        <v>20</v>
      </c>
      <c r="N8" s="23">
        <v>4</v>
      </c>
      <c r="O8" s="6">
        <v>18</v>
      </c>
      <c r="P8" s="21">
        <v>0</v>
      </c>
      <c r="Q8" s="19">
        <v>20</v>
      </c>
      <c r="R8" s="36"/>
    </row>
    <row r="9" spans="1:18" ht="16.8">
      <c r="A9" s="1">
        <v>8</v>
      </c>
      <c r="B9" s="1" t="s">
        <v>15</v>
      </c>
      <c r="C9" s="1" t="s">
        <v>14</v>
      </c>
      <c r="D9" s="192" t="s">
        <v>90</v>
      </c>
      <c r="E9" s="5">
        <v>18</v>
      </c>
      <c r="F9" s="6">
        <v>18</v>
      </c>
      <c r="G9" s="6">
        <v>18</v>
      </c>
      <c r="H9" s="4">
        <v>13</v>
      </c>
      <c r="I9" s="10">
        <v>20</v>
      </c>
      <c r="J9" s="13">
        <v>20</v>
      </c>
      <c r="K9" s="6">
        <v>18</v>
      </c>
      <c r="L9" s="10">
        <v>20</v>
      </c>
      <c r="M9" s="19">
        <v>20</v>
      </c>
      <c r="N9" s="23">
        <v>3</v>
      </c>
      <c r="O9" s="6">
        <v>18</v>
      </c>
      <c r="P9" s="21">
        <v>0</v>
      </c>
      <c r="Q9" s="19">
        <v>20</v>
      </c>
      <c r="R9" s="36"/>
    </row>
    <row r="10" spans="1:18" ht="16.8">
      <c r="A10" s="1">
        <v>9</v>
      </c>
      <c r="B10" s="2" t="s">
        <v>17</v>
      </c>
      <c r="C10" s="2" t="s">
        <v>16</v>
      </c>
      <c r="D10" s="128" t="s">
        <v>112</v>
      </c>
      <c r="E10" s="5">
        <v>18</v>
      </c>
      <c r="F10" s="6">
        <v>18</v>
      </c>
      <c r="G10" s="6">
        <v>18</v>
      </c>
      <c r="H10" s="4">
        <v>9</v>
      </c>
      <c r="I10" s="10">
        <v>20</v>
      </c>
      <c r="J10" s="13">
        <v>20</v>
      </c>
      <c r="K10" s="6">
        <v>18</v>
      </c>
      <c r="L10" s="10">
        <v>20</v>
      </c>
      <c r="M10" s="19">
        <v>20</v>
      </c>
      <c r="N10" s="23">
        <v>6</v>
      </c>
      <c r="O10" s="6">
        <v>18</v>
      </c>
      <c r="P10" s="19">
        <v>20</v>
      </c>
      <c r="Q10" s="19">
        <v>20</v>
      </c>
      <c r="R10" s="36"/>
    </row>
    <row r="11" spans="1:18" ht="16.8">
      <c r="A11" s="1">
        <v>10</v>
      </c>
      <c r="B11" s="1" t="s">
        <v>19</v>
      </c>
      <c r="C11" s="1" t="s">
        <v>18</v>
      </c>
      <c r="D11" s="142" t="s">
        <v>114</v>
      </c>
      <c r="E11" s="7">
        <v>0</v>
      </c>
      <c r="F11" s="8">
        <v>0</v>
      </c>
      <c r="G11" s="6">
        <v>18</v>
      </c>
      <c r="H11" s="4">
        <v>7</v>
      </c>
      <c r="I11" s="10">
        <v>20</v>
      </c>
      <c r="J11" s="13">
        <v>15</v>
      </c>
      <c r="K11" s="6">
        <v>18</v>
      </c>
      <c r="L11" s="8">
        <v>0</v>
      </c>
      <c r="M11" s="19">
        <v>20</v>
      </c>
      <c r="N11" s="23">
        <v>3</v>
      </c>
      <c r="O11" s="6">
        <v>18</v>
      </c>
      <c r="P11" s="35">
        <v>15</v>
      </c>
      <c r="Q11" s="19">
        <v>20</v>
      </c>
      <c r="R11" s="36"/>
    </row>
    <row r="12" spans="1:18" ht="16.8">
      <c r="A12" s="1">
        <v>11</v>
      </c>
      <c r="B12" s="2" t="s">
        <v>21</v>
      </c>
      <c r="C12" s="2" t="s">
        <v>20</v>
      </c>
      <c r="D12" s="192" t="s">
        <v>93</v>
      </c>
      <c r="E12" s="7">
        <v>0</v>
      </c>
      <c r="F12" s="6">
        <v>18</v>
      </c>
      <c r="G12" s="6">
        <v>18</v>
      </c>
      <c r="H12" s="4">
        <v>13</v>
      </c>
      <c r="I12" s="6">
        <v>18</v>
      </c>
      <c r="J12" s="14">
        <v>20</v>
      </c>
      <c r="K12" s="6">
        <v>18</v>
      </c>
      <c r="L12" s="18">
        <v>0</v>
      </c>
      <c r="M12" s="20">
        <v>13</v>
      </c>
      <c r="N12" s="23">
        <v>3</v>
      </c>
      <c r="O12" s="6">
        <v>18</v>
      </c>
      <c r="P12" s="21">
        <v>0</v>
      </c>
      <c r="Q12" s="22">
        <v>18</v>
      </c>
      <c r="R12" s="36"/>
    </row>
    <row r="13" spans="1:18" ht="16.8">
      <c r="A13" s="1">
        <v>12</v>
      </c>
      <c r="B13" s="3" t="s">
        <v>23</v>
      </c>
      <c r="C13" s="1" t="s">
        <v>22</v>
      </c>
      <c r="D13" s="192" t="s">
        <v>94</v>
      </c>
      <c r="E13" s="5">
        <v>18</v>
      </c>
      <c r="F13" s="6">
        <v>18</v>
      </c>
      <c r="G13" s="6">
        <v>18</v>
      </c>
      <c r="H13" s="4">
        <v>11</v>
      </c>
      <c r="I13" s="10">
        <v>20</v>
      </c>
      <c r="J13" s="14">
        <v>18</v>
      </c>
      <c r="K13" s="6">
        <v>18</v>
      </c>
      <c r="L13" s="6">
        <v>18</v>
      </c>
      <c r="M13" s="20">
        <v>13</v>
      </c>
      <c r="N13" s="23"/>
      <c r="O13" s="6">
        <v>18</v>
      </c>
      <c r="P13" s="21">
        <v>0</v>
      </c>
      <c r="Q13" s="20">
        <v>13</v>
      </c>
      <c r="R13" s="36"/>
    </row>
    <row r="14" spans="1:18" ht="16.8">
      <c r="A14" s="1">
        <v>13</v>
      </c>
      <c r="B14" s="2" t="s">
        <v>25</v>
      </c>
      <c r="C14" s="2" t="s">
        <v>24</v>
      </c>
      <c r="D14" s="192" t="s">
        <v>95</v>
      </c>
      <c r="E14" s="5">
        <v>18</v>
      </c>
      <c r="F14" s="6">
        <v>18</v>
      </c>
      <c r="G14" s="6">
        <v>18</v>
      </c>
      <c r="H14" s="4">
        <v>11</v>
      </c>
      <c r="I14" s="11">
        <v>15</v>
      </c>
      <c r="J14" s="13">
        <v>20</v>
      </c>
      <c r="K14" s="6">
        <v>18</v>
      </c>
      <c r="L14" s="8">
        <v>0</v>
      </c>
      <c r="M14" s="19">
        <v>20</v>
      </c>
      <c r="N14" s="23">
        <v>3</v>
      </c>
      <c r="O14" s="6">
        <v>18</v>
      </c>
      <c r="P14" s="21">
        <v>0</v>
      </c>
      <c r="Q14" s="19">
        <v>20</v>
      </c>
      <c r="R14" s="36"/>
    </row>
    <row r="15" spans="1:18" ht="16.8">
      <c r="A15" s="1">
        <v>14</v>
      </c>
      <c r="B15" s="1" t="s">
        <v>27</v>
      </c>
      <c r="C15" s="1" t="s">
        <v>26</v>
      </c>
      <c r="D15" s="192" t="s">
        <v>98</v>
      </c>
      <c r="E15" s="5">
        <v>18</v>
      </c>
      <c r="F15" s="6">
        <v>18</v>
      </c>
      <c r="G15" s="6">
        <v>18</v>
      </c>
      <c r="H15" s="4">
        <v>10</v>
      </c>
      <c r="I15" s="10">
        <v>20</v>
      </c>
      <c r="J15" s="13">
        <v>15</v>
      </c>
      <c r="K15" s="6">
        <v>18</v>
      </c>
      <c r="L15" s="10">
        <v>20</v>
      </c>
      <c r="M15" s="19">
        <v>20</v>
      </c>
      <c r="N15" s="23">
        <v>8</v>
      </c>
      <c r="O15" s="6">
        <v>18</v>
      </c>
      <c r="P15" s="19">
        <v>20</v>
      </c>
      <c r="Q15" s="19">
        <v>20</v>
      </c>
      <c r="R15" s="36"/>
    </row>
    <row r="16" spans="1:18" ht="16.8">
      <c r="A16" s="1">
        <v>15</v>
      </c>
      <c r="B16" s="2" t="s">
        <v>29</v>
      </c>
      <c r="C16" s="2" t="s">
        <v>28</v>
      </c>
      <c r="D16" s="192" t="s">
        <v>100</v>
      </c>
      <c r="E16" s="5">
        <v>18</v>
      </c>
      <c r="F16" s="6">
        <v>18</v>
      </c>
      <c r="G16" s="6">
        <v>18</v>
      </c>
      <c r="H16" s="4">
        <v>16</v>
      </c>
      <c r="I16" s="6">
        <v>18</v>
      </c>
      <c r="J16" s="15">
        <v>18</v>
      </c>
      <c r="K16" s="6">
        <v>18</v>
      </c>
      <c r="L16" s="6">
        <v>18</v>
      </c>
      <c r="M16" s="21">
        <v>0</v>
      </c>
      <c r="N16" s="23"/>
      <c r="O16" s="6">
        <v>18</v>
      </c>
      <c r="P16" s="22">
        <v>18</v>
      </c>
      <c r="Q16" s="22">
        <v>18</v>
      </c>
      <c r="R16" s="36"/>
    </row>
    <row r="17" spans="1:18" ht="16.8">
      <c r="A17" s="1">
        <v>16</v>
      </c>
      <c r="B17" s="1" t="s">
        <v>31</v>
      </c>
      <c r="C17" s="1" t="s">
        <v>30</v>
      </c>
      <c r="D17" s="142" t="s">
        <v>119</v>
      </c>
      <c r="E17" s="5">
        <v>18</v>
      </c>
      <c r="F17" s="6">
        <v>18</v>
      </c>
      <c r="G17" s="6">
        <v>18</v>
      </c>
      <c r="H17" s="4">
        <v>12</v>
      </c>
      <c r="I17" s="10">
        <v>20</v>
      </c>
      <c r="J17" s="16">
        <v>0</v>
      </c>
      <c r="K17" s="6">
        <v>18</v>
      </c>
      <c r="L17" s="6">
        <v>18</v>
      </c>
      <c r="M17" s="22">
        <v>18</v>
      </c>
      <c r="N17" s="23">
        <v>5</v>
      </c>
      <c r="O17" s="8">
        <v>0</v>
      </c>
      <c r="P17" s="22">
        <v>18</v>
      </c>
      <c r="Q17" s="22">
        <v>18</v>
      </c>
      <c r="R17" s="36"/>
    </row>
    <row r="18" spans="1:18" ht="16.8">
      <c r="A18" s="1">
        <v>17</v>
      </c>
      <c r="B18" s="2" t="s">
        <v>33</v>
      </c>
      <c r="C18" s="2" t="s">
        <v>32</v>
      </c>
      <c r="D18" s="192" t="s">
        <v>101</v>
      </c>
      <c r="E18" s="5">
        <v>18</v>
      </c>
      <c r="F18" s="6">
        <v>18</v>
      </c>
      <c r="G18" s="6">
        <v>18</v>
      </c>
      <c r="H18" s="4">
        <v>15</v>
      </c>
      <c r="I18" s="10">
        <v>20</v>
      </c>
      <c r="J18" s="13">
        <v>20</v>
      </c>
      <c r="K18" s="6">
        <v>18</v>
      </c>
      <c r="L18" s="17">
        <v>20</v>
      </c>
      <c r="M18" s="19">
        <v>20</v>
      </c>
      <c r="N18" s="23">
        <v>3</v>
      </c>
      <c r="O18" s="6">
        <v>18</v>
      </c>
      <c r="P18" s="19">
        <v>20</v>
      </c>
      <c r="Q18" s="19">
        <v>20</v>
      </c>
      <c r="R18" s="36"/>
    </row>
    <row r="19" spans="1:18" ht="16.8">
      <c r="A19" s="1">
        <v>18</v>
      </c>
      <c r="B19" s="1" t="s">
        <v>35</v>
      </c>
      <c r="C19" s="1" t="s">
        <v>34</v>
      </c>
      <c r="D19" s="192" t="s">
        <v>102</v>
      </c>
      <c r="E19" s="5">
        <v>18</v>
      </c>
      <c r="F19" s="6">
        <v>18</v>
      </c>
      <c r="G19" s="6">
        <v>18</v>
      </c>
      <c r="H19" s="4">
        <v>12</v>
      </c>
      <c r="I19" s="8">
        <v>0</v>
      </c>
      <c r="J19" s="13">
        <v>20</v>
      </c>
      <c r="K19" s="6">
        <v>18</v>
      </c>
      <c r="L19" s="17">
        <v>20</v>
      </c>
      <c r="M19" s="19">
        <v>20</v>
      </c>
      <c r="N19" s="23">
        <v>5</v>
      </c>
      <c r="O19" s="6">
        <v>18</v>
      </c>
      <c r="P19" s="19">
        <v>20</v>
      </c>
      <c r="Q19" s="19">
        <v>20</v>
      </c>
      <c r="R19" s="36"/>
    </row>
    <row r="20" spans="1:18" ht="16.8">
      <c r="A20" s="1">
        <v>19</v>
      </c>
      <c r="B20" s="2" t="s">
        <v>37</v>
      </c>
      <c r="C20" s="2" t="s">
        <v>36</v>
      </c>
      <c r="D20" s="193" t="s">
        <v>104</v>
      </c>
      <c r="E20" s="5">
        <v>18</v>
      </c>
      <c r="F20" s="6">
        <v>18</v>
      </c>
      <c r="G20" s="6">
        <v>18</v>
      </c>
      <c r="H20" s="4">
        <v>13</v>
      </c>
      <c r="I20" s="6">
        <v>18</v>
      </c>
      <c r="J20" s="14">
        <v>20</v>
      </c>
      <c r="K20" s="8">
        <v>0</v>
      </c>
      <c r="L20" s="11">
        <v>15</v>
      </c>
      <c r="M20" s="19">
        <v>20</v>
      </c>
      <c r="N20" s="23">
        <v>5</v>
      </c>
      <c r="O20" s="8">
        <v>0</v>
      </c>
      <c r="P20" s="19">
        <v>20</v>
      </c>
      <c r="Q20" s="19">
        <v>20</v>
      </c>
      <c r="R20" s="37"/>
    </row>
  </sheetData>
  <dataValidations count="1">
    <dataValidation allowBlank="1" showInputMessage="1" prompt="Do not type name of learners here. Go to INPUT DATA sheet." sqref="D2:D20" xr:uid="{03CFAC1A-0D69-45C9-97A4-C888875C146D}"/>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C10C-3201-40BE-A97F-C82B99D97E97}">
  <sheetPr>
    <tabColor rgb="FFFF9933"/>
  </sheetPr>
  <dimension ref="A1:WWR123"/>
  <sheetViews>
    <sheetView showGridLines="0" tabSelected="1" topLeftCell="A26" zoomScale="85" zoomScaleNormal="85" zoomScaleSheetLayoutView="100" workbookViewId="0">
      <selection activeCell="AB37" sqref="AB37"/>
    </sheetView>
  </sheetViews>
  <sheetFormatPr defaultColWidth="0" defaultRowHeight="13.8" customHeight="1" zeroHeight="1"/>
  <cols>
    <col min="1" max="1" width="3.69921875" style="40" customWidth="1"/>
    <col min="2" max="2" width="25.796875" style="40" customWidth="1"/>
    <col min="3" max="5" width="3" style="40" customWidth="1"/>
    <col min="6" max="15" width="4" style="40" customWidth="1"/>
    <col min="16" max="16" width="5.69921875" style="40" customWidth="1"/>
    <col min="17" max="18" width="6.3984375" style="48" customWidth="1"/>
    <col min="19" max="28" width="4" style="40" customWidth="1"/>
    <col min="29" max="29" width="5.69921875" style="40" customWidth="1"/>
    <col min="30" max="31" width="6.3984375" style="48" customWidth="1"/>
    <col min="32" max="32" width="5.69921875" style="40" customWidth="1"/>
    <col min="33" max="34" width="6.3984375" style="48" customWidth="1"/>
    <col min="35" max="35" width="9.296875" style="48" customWidth="1"/>
    <col min="36" max="36" width="9.296875" style="49" customWidth="1"/>
    <col min="37" max="39" width="4.19921875" style="38" hidden="1"/>
    <col min="40" max="56" width="4.19921875" style="39" hidden="1"/>
    <col min="57" max="256" width="4.19921875" style="38" hidden="1"/>
    <col min="257" max="257" width="3.69921875" style="38" hidden="1"/>
    <col min="258" max="258" width="25.796875" style="38" hidden="1"/>
    <col min="259" max="271" width="3" style="38" hidden="1"/>
    <col min="272" max="272" width="4.19921875" style="38" hidden="1"/>
    <col min="273" max="274" width="5.09765625" style="38" hidden="1"/>
    <col min="275" max="284" width="3" style="38" hidden="1"/>
    <col min="285" max="285" width="3.69921875" style="38" hidden="1"/>
    <col min="286" max="287" width="5.09765625" style="38" hidden="1"/>
    <col min="288" max="288" width="7.796875" style="38" hidden="1"/>
    <col min="289" max="292" width="5.09765625" style="38" hidden="1"/>
    <col min="293" max="512" width="4.19921875" style="38" hidden="1"/>
    <col min="513" max="513" width="3.69921875" style="38" hidden="1"/>
    <col min="514" max="514" width="25.796875" style="38" hidden="1"/>
    <col min="515" max="527" width="3" style="38" hidden="1"/>
    <col min="528" max="528" width="4.19921875" style="38" hidden="1"/>
    <col min="529" max="530" width="5.09765625" style="38" hidden="1"/>
    <col min="531" max="540" width="3" style="38" hidden="1"/>
    <col min="541" max="541" width="3.69921875" style="38" hidden="1"/>
    <col min="542" max="543" width="5.09765625" style="38" hidden="1"/>
    <col min="544" max="544" width="7.796875" style="38" hidden="1"/>
    <col min="545" max="548" width="5.09765625" style="38" hidden="1"/>
    <col min="549" max="768" width="4.19921875" style="38" hidden="1"/>
    <col min="769" max="769" width="3.69921875" style="38" hidden="1"/>
    <col min="770" max="770" width="25.796875" style="38" hidden="1"/>
    <col min="771" max="783" width="3" style="38" hidden="1"/>
    <col min="784" max="784" width="4.19921875" style="38" hidden="1"/>
    <col min="785" max="786" width="5.09765625" style="38" hidden="1"/>
    <col min="787" max="796" width="3" style="38" hidden="1"/>
    <col min="797" max="797" width="3.69921875" style="38" hidden="1"/>
    <col min="798" max="799" width="5.09765625" style="38" hidden="1"/>
    <col min="800" max="800" width="7.796875" style="38" hidden="1"/>
    <col min="801" max="804" width="5.09765625" style="38" hidden="1"/>
    <col min="805" max="1024" width="4.19921875" style="38" hidden="1"/>
    <col min="1025" max="1025" width="3.69921875" style="38" hidden="1"/>
    <col min="1026" max="1026" width="25.796875" style="38" hidden="1"/>
    <col min="1027" max="1039" width="3" style="38" hidden="1"/>
    <col min="1040" max="1040" width="4.19921875" style="38" hidden="1"/>
    <col min="1041" max="1042" width="5.09765625" style="38" hidden="1"/>
    <col min="1043" max="1052" width="3" style="38" hidden="1"/>
    <col min="1053" max="1053" width="3.69921875" style="38" hidden="1"/>
    <col min="1054" max="1055" width="5.09765625" style="38" hidden="1"/>
    <col min="1056" max="1056" width="7.796875" style="38" hidden="1"/>
    <col min="1057" max="1060" width="5.09765625" style="38" hidden="1"/>
    <col min="1061" max="1280" width="4.19921875" style="38" hidden="1"/>
    <col min="1281" max="1281" width="3.69921875" style="38" hidden="1"/>
    <col min="1282" max="1282" width="25.796875" style="38" hidden="1"/>
    <col min="1283" max="1295" width="3" style="38" hidden="1"/>
    <col min="1296" max="1296" width="4.19921875" style="38" hidden="1"/>
    <col min="1297" max="1298" width="5.09765625" style="38" hidden="1"/>
    <col min="1299" max="1308" width="3" style="38" hidden="1"/>
    <col min="1309" max="1309" width="3.69921875" style="38" hidden="1"/>
    <col min="1310" max="1311" width="5.09765625" style="38" hidden="1"/>
    <col min="1312" max="1312" width="7.796875" style="38" hidden="1"/>
    <col min="1313" max="1316" width="5.09765625" style="38" hidden="1"/>
    <col min="1317" max="1536" width="4.19921875" style="38" hidden="1"/>
    <col min="1537" max="1537" width="3.69921875" style="38" hidden="1"/>
    <col min="1538" max="1538" width="25.796875" style="38" hidden="1"/>
    <col min="1539" max="1551" width="3" style="38" hidden="1"/>
    <col min="1552" max="1552" width="4.19921875" style="38" hidden="1"/>
    <col min="1553" max="1554" width="5.09765625" style="38" hidden="1"/>
    <col min="1555" max="1564" width="3" style="38" hidden="1"/>
    <col min="1565" max="1565" width="3.69921875" style="38" hidden="1"/>
    <col min="1566" max="1567" width="5.09765625" style="38" hidden="1"/>
    <col min="1568" max="1568" width="7.796875" style="38" hidden="1"/>
    <col min="1569" max="1572" width="5.09765625" style="38" hidden="1"/>
    <col min="1573" max="1792" width="4.19921875" style="38" hidden="1"/>
    <col min="1793" max="1793" width="3.69921875" style="38" hidden="1"/>
    <col min="1794" max="1794" width="25.796875" style="38" hidden="1"/>
    <col min="1795" max="1807" width="3" style="38" hidden="1"/>
    <col min="1808" max="1808" width="4.19921875" style="38" hidden="1"/>
    <col min="1809" max="1810" width="5.09765625" style="38" hidden="1"/>
    <col min="1811" max="1820" width="3" style="38" hidden="1"/>
    <col min="1821" max="1821" width="3.69921875" style="38" hidden="1"/>
    <col min="1822" max="1823" width="5.09765625" style="38" hidden="1"/>
    <col min="1824" max="1824" width="7.796875" style="38" hidden="1"/>
    <col min="1825" max="1828" width="5.09765625" style="38" hidden="1"/>
    <col min="1829" max="2048" width="4.19921875" style="38" hidden="1"/>
    <col min="2049" max="2049" width="3.69921875" style="38" hidden="1"/>
    <col min="2050" max="2050" width="25.796875" style="38" hidden="1"/>
    <col min="2051" max="2063" width="3" style="38" hidden="1"/>
    <col min="2064" max="2064" width="4.19921875" style="38" hidden="1"/>
    <col min="2065" max="2066" width="5.09765625" style="38" hidden="1"/>
    <col min="2067" max="2076" width="3" style="38" hidden="1"/>
    <col min="2077" max="2077" width="3.69921875" style="38" hidden="1"/>
    <col min="2078" max="2079" width="5.09765625" style="38" hidden="1"/>
    <col min="2080" max="2080" width="7.796875" style="38" hidden="1"/>
    <col min="2081" max="2084" width="5.09765625" style="38" hidden="1"/>
    <col min="2085" max="2304" width="4.19921875" style="38" hidden="1"/>
    <col min="2305" max="2305" width="3.69921875" style="38" hidden="1"/>
    <col min="2306" max="2306" width="25.796875" style="38" hidden="1"/>
    <col min="2307" max="2319" width="3" style="38" hidden="1"/>
    <col min="2320" max="2320" width="4.19921875" style="38" hidden="1"/>
    <col min="2321" max="2322" width="5.09765625" style="38" hidden="1"/>
    <col min="2323" max="2332" width="3" style="38" hidden="1"/>
    <col min="2333" max="2333" width="3.69921875" style="38" hidden="1"/>
    <col min="2334" max="2335" width="5.09765625" style="38" hidden="1"/>
    <col min="2336" max="2336" width="7.796875" style="38" hidden="1"/>
    <col min="2337" max="2340" width="5.09765625" style="38" hidden="1"/>
    <col min="2341" max="2560" width="4.19921875" style="38" hidden="1"/>
    <col min="2561" max="2561" width="3.69921875" style="38" hidden="1"/>
    <col min="2562" max="2562" width="25.796875" style="38" hidden="1"/>
    <col min="2563" max="2575" width="3" style="38" hidden="1"/>
    <col min="2576" max="2576" width="4.19921875" style="38" hidden="1"/>
    <col min="2577" max="2578" width="5.09765625" style="38" hidden="1"/>
    <col min="2579" max="2588" width="3" style="38" hidden="1"/>
    <col min="2589" max="2589" width="3.69921875" style="38" hidden="1"/>
    <col min="2590" max="2591" width="5.09765625" style="38" hidden="1"/>
    <col min="2592" max="2592" width="7.796875" style="38" hidden="1"/>
    <col min="2593" max="2596" width="5.09765625" style="38" hidden="1"/>
    <col min="2597" max="2816" width="4.19921875" style="38" hidden="1"/>
    <col min="2817" max="2817" width="3.69921875" style="38" hidden="1"/>
    <col min="2818" max="2818" width="25.796875" style="38" hidden="1"/>
    <col min="2819" max="2831" width="3" style="38" hidden="1"/>
    <col min="2832" max="2832" width="4.19921875" style="38" hidden="1"/>
    <col min="2833" max="2834" width="5.09765625" style="38" hidden="1"/>
    <col min="2835" max="2844" width="3" style="38" hidden="1"/>
    <col min="2845" max="2845" width="3.69921875" style="38" hidden="1"/>
    <col min="2846" max="2847" width="5.09765625" style="38" hidden="1"/>
    <col min="2848" max="2848" width="7.796875" style="38" hidden="1"/>
    <col min="2849" max="2852" width="5.09765625" style="38" hidden="1"/>
    <col min="2853" max="3072" width="4.19921875" style="38" hidden="1"/>
    <col min="3073" max="3073" width="3.69921875" style="38" hidden="1"/>
    <col min="3074" max="3074" width="25.796875" style="38" hidden="1"/>
    <col min="3075" max="3087" width="3" style="38" hidden="1"/>
    <col min="3088" max="3088" width="4.19921875" style="38" hidden="1"/>
    <col min="3089" max="3090" width="5.09765625" style="38" hidden="1"/>
    <col min="3091" max="3100" width="3" style="38" hidden="1"/>
    <col min="3101" max="3101" width="3.69921875" style="38" hidden="1"/>
    <col min="3102" max="3103" width="5.09765625" style="38" hidden="1"/>
    <col min="3104" max="3104" width="7.796875" style="38" hidden="1"/>
    <col min="3105" max="3108" width="5.09765625" style="38" hidden="1"/>
    <col min="3109" max="3328" width="4.19921875" style="38" hidden="1"/>
    <col min="3329" max="3329" width="3.69921875" style="38" hidden="1"/>
    <col min="3330" max="3330" width="25.796875" style="38" hidden="1"/>
    <col min="3331" max="3343" width="3" style="38" hidden="1"/>
    <col min="3344" max="3344" width="4.19921875" style="38" hidden="1"/>
    <col min="3345" max="3346" width="5.09765625" style="38" hidden="1"/>
    <col min="3347" max="3356" width="3" style="38" hidden="1"/>
    <col min="3357" max="3357" width="3.69921875" style="38" hidden="1"/>
    <col min="3358" max="3359" width="5.09765625" style="38" hidden="1"/>
    <col min="3360" max="3360" width="7.796875" style="38" hidden="1"/>
    <col min="3361" max="3364" width="5.09765625" style="38" hidden="1"/>
    <col min="3365" max="3584" width="4.19921875" style="38" hidden="1"/>
    <col min="3585" max="3585" width="3.69921875" style="38" hidden="1"/>
    <col min="3586" max="3586" width="25.796875" style="38" hidden="1"/>
    <col min="3587" max="3599" width="3" style="38" hidden="1"/>
    <col min="3600" max="3600" width="4.19921875" style="38" hidden="1"/>
    <col min="3601" max="3602" width="5.09765625" style="38" hidden="1"/>
    <col min="3603" max="3612" width="3" style="38" hidden="1"/>
    <col min="3613" max="3613" width="3.69921875" style="38" hidden="1"/>
    <col min="3614" max="3615" width="5.09765625" style="38" hidden="1"/>
    <col min="3616" max="3616" width="7.796875" style="38" hidden="1"/>
    <col min="3617" max="3620" width="5.09765625" style="38" hidden="1"/>
    <col min="3621" max="3840" width="4.19921875" style="38" hidden="1"/>
    <col min="3841" max="3841" width="3.69921875" style="38" hidden="1"/>
    <col min="3842" max="3842" width="25.796875" style="38" hidden="1"/>
    <col min="3843" max="3855" width="3" style="38" hidden="1"/>
    <col min="3856" max="3856" width="4.19921875" style="38" hidden="1"/>
    <col min="3857" max="3858" width="5.09765625" style="38" hidden="1"/>
    <col min="3859" max="3868" width="3" style="38" hidden="1"/>
    <col min="3869" max="3869" width="3.69921875" style="38" hidden="1"/>
    <col min="3870" max="3871" width="5.09765625" style="38" hidden="1"/>
    <col min="3872" max="3872" width="7.796875" style="38" hidden="1"/>
    <col min="3873" max="3876" width="5.09765625" style="38" hidden="1"/>
    <col min="3877" max="4096" width="4.19921875" style="38" hidden="1"/>
    <col min="4097" max="4097" width="3.69921875" style="38" hidden="1"/>
    <col min="4098" max="4098" width="25.796875" style="38" hidden="1"/>
    <col min="4099" max="4111" width="3" style="38" hidden="1"/>
    <col min="4112" max="4112" width="4.19921875" style="38" hidden="1"/>
    <col min="4113" max="4114" width="5.09765625" style="38" hidden="1"/>
    <col min="4115" max="4124" width="3" style="38" hidden="1"/>
    <col min="4125" max="4125" width="3.69921875" style="38" hidden="1"/>
    <col min="4126" max="4127" width="5.09765625" style="38" hidden="1"/>
    <col min="4128" max="4128" width="7.796875" style="38" hidden="1"/>
    <col min="4129" max="4132" width="5.09765625" style="38" hidden="1"/>
    <col min="4133" max="4352" width="4.19921875" style="38" hidden="1"/>
    <col min="4353" max="4353" width="3.69921875" style="38" hidden="1"/>
    <col min="4354" max="4354" width="25.796875" style="38" hidden="1"/>
    <col min="4355" max="4367" width="3" style="38" hidden="1"/>
    <col min="4368" max="4368" width="4.19921875" style="38" hidden="1"/>
    <col min="4369" max="4370" width="5.09765625" style="38" hidden="1"/>
    <col min="4371" max="4380" width="3" style="38" hidden="1"/>
    <col min="4381" max="4381" width="3.69921875" style="38" hidden="1"/>
    <col min="4382" max="4383" width="5.09765625" style="38" hidden="1"/>
    <col min="4384" max="4384" width="7.796875" style="38" hidden="1"/>
    <col min="4385" max="4388" width="5.09765625" style="38" hidden="1"/>
    <col min="4389" max="4608" width="4.19921875" style="38" hidden="1"/>
    <col min="4609" max="4609" width="3.69921875" style="38" hidden="1"/>
    <col min="4610" max="4610" width="25.796875" style="38" hidden="1"/>
    <col min="4611" max="4623" width="3" style="38" hidden="1"/>
    <col min="4624" max="4624" width="4.19921875" style="38" hidden="1"/>
    <col min="4625" max="4626" width="5.09765625" style="38" hidden="1"/>
    <col min="4627" max="4636" width="3" style="38" hidden="1"/>
    <col min="4637" max="4637" width="3.69921875" style="38" hidden="1"/>
    <col min="4638" max="4639" width="5.09765625" style="38" hidden="1"/>
    <col min="4640" max="4640" width="7.796875" style="38" hidden="1"/>
    <col min="4641" max="4644" width="5.09765625" style="38" hidden="1"/>
    <col min="4645" max="4864" width="4.19921875" style="38" hidden="1"/>
    <col min="4865" max="4865" width="3.69921875" style="38" hidden="1"/>
    <col min="4866" max="4866" width="25.796875" style="38" hidden="1"/>
    <col min="4867" max="4879" width="3" style="38" hidden="1"/>
    <col min="4880" max="4880" width="4.19921875" style="38" hidden="1"/>
    <col min="4881" max="4882" width="5.09765625" style="38" hidden="1"/>
    <col min="4883" max="4892" width="3" style="38" hidden="1"/>
    <col min="4893" max="4893" width="3.69921875" style="38" hidden="1"/>
    <col min="4894" max="4895" width="5.09765625" style="38" hidden="1"/>
    <col min="4896" max="4896" width="7.796875" style="38" hidden="1"/>
    <col min="4897" max="4900" width="5.09765625" style="38" hidden="1"/>
    <col min="4901" max="5120" width="4.19921875" style="38" hidden="1"/>
    <col min="5121" max="5121" width="3.69921875" style="38" hidden="1"/>
    <col min="5122" max="5122" width="25.796875" style="38" hidden="1"/>
    <col min="5123" max="5135" width="3" style="38" hidden="1"/>
    <col min="5136" max="5136" width="4.19921875" style="38" hidden="1"/>
    <col min="5137" max="5138" width="5.09765625" style="38" hidden="1"/>
    <col min="5139" max="5148" width="3" style="38" hidden="1"/>
    <col min="5149" max="5149" width="3.69921875" style="38" hidden="1"/>
    <col min="5150" max="5151" width="5.09765625" style="38" hidden="1"/>
    <col min="5152" max="5152" width="7.796875" style="38" hidden="1"/>
    <col min="5153" max="5156" width="5.09765625" style="38" hidden="1"/>
    <col min="5157" max="5376" width="4.19921875" style="38" hidden="1"/>
    <col min="5377" max="5377" width="3.69921875" style="38" hidden="1"/>
    <col min="5378" max="5378" width="25.796875" style="38" hidden="1"/>
    <col min="5379" max="5391" width="3" style="38" hidden="1"/>
    <col min="5392" max="5392" width="4.19921875" style="38" hidden="1"/>
    <col min="5393" max="5394" width="5.09765625" style="38" hidden="1"/>
    <col min="5395" max="5404" width="3" style="38" hidden="1"/>
    <col min="5405" max="5405" width="3.69921875" style="38" hidden="1"/>
    <col min="5406" max="5407" width="5.09765625" style="38" hidden="1"/>
    <col min="5408" max="5408" width="7.796875" style="38" hidden="1"/>
    <col min="5409" max="5412" width="5.09765625" style="38" hidden="1"/>
    <col min="5413" max="5632" width="4.19921875" style="38" hidden="1"/>
    <col min="5633" max="5633" width="3.69921875" style="38" hidden="1"/>
    <col min="5634" max="5634" width="25.796875" style="38" hidden="1"/>
    <col min="5635" max="5647" width="3" style="38" hidden="1"/>
    <col min="5648" max="5648" width="4.19921875" style="38" hidden="1"/>
    <col min="5649" max="5650" width="5.09765625" style="38" hidden="1"/>
    <col min="5651" max="5660" width="3" style="38" hidden="1"/>
    <col min="5661" max="5661" width="3.69921875" style="38" hidden="1"/>
    <col min="5662" max="5663" width="5.09765625" style="38" hidden="1"/>
    <col min="5664" max="5664" width="7.796875" style="38" hidden="1"/>
    <col min="5665" max="5668" width="5.09765625" style="38" hidden="1"/>
    <col min="5669" max="5888" width="4.19921875" style="38" hidden="1"/>
    <col min="5889" max="5889" width="3.69921875" style="38" hidden="1"/>
    <col min="5890" max="5890" width="25.796875" style="38" hidden="1"/>
    <col min="5891" max="5903" width="3" style="38" hidden="1"/>
    <col min="5904" max="5904" width="4.19921875" style="38" hidden="1"/>
    <col min="5905" max="5906" width="5.09765625" style="38" hidden="1"/>
    <col min="5907" max="5916" width="3" style="38" hidden="1"/>
    <col min="5917" max="5917" width="3.69921875" style="38" hidden="1"/>
    <col min="5918" max="5919" width="5.09765625" style="38" hidden="1"/>
    <col min="5920" max="5920" width="7.796875" style="38" hidden="1"/>
    <col min="5921" max="5924" width="5.09765625" style="38" hidden="1"/>
    <col min="5925" max="6144" width="4.19921875" style="38" hidden="1"/>
    <col min="6145" max="6145" width="3.69921875" style="38" hidden="1"/>
    <col min="6146" max="6146" width="25.796875" style="38" hidden="1"/>
    <col min="6147" max="6159" width="3" style="38" hidden="1"/>
    <col min="6160" max="6160" width="4.19921875" style="38" hidden="1"/>
    <col min="6161" max="6162" width="5.09765625" style="38" hidden="1"/>
    <col min="6163" max="6172" width="3" style="38" hidden="1"/>
    <col min="6173" max="6173" width="3.69921875" style="38" hidden="1"/>
    <col min="6174" max="6175" width="5.09765625" style="38" hidden="1"/>
    <col min="6176" max="6176" width="7.796875" style="38" hidden="1"/>
    <col min="6177" max="6180" width="5.09765625" style="38" hidden="1"/>
    <col min="6181" max="6400" width="4.19921875" style="38" hidden="1"/>
    <col min="6401" max="6401" width="3.69921875" style="38" hidden="1"/>
    <col min="6402" max="6402" width="25.796875" style="38" hidden="1"/>
    <col min="6403" max="6415" width="3" style="38" hidden="1"/>
    <col min="6416" max="6416" width="4.19921875" style="38" hidden="1"/>
    <col min="6417" max="6418" width="5.09765625" style="38" hidden="1"/>
    <col min="6419" max="6428" width="3" style="38" hidden="1"/>
    <col min="6429" max="6429" width="3.69921875" style="38" hidden="1"/>
    <col min="6430" max="6431" width="5.09765625" style="38" hidden="1"/>
    <col min="6432" max="6432" width="7.796875" style="38" hidden="1"/>
    <col min="6433" max="6436" width="5.09765625" style="38" hidden="1"/>
    <col min="6437" max="6656" width="4.19921875" style="38" hidden="1"/>
    <col min="6657" max="6657" width="3.69921875" style="38" hidden="1"/>
    <col min="6658" max="6658" width="25.796875" style="38" hidden="1"/>
    <col min="6659" max="6671" width="3" style="38" hidden="1"/>
    <col min="6672" max="6672" width="4.19921875" style="38" hidden="1"/>
    <col min="6673" max="6674" width="5.09765625" style="38" hidden="1"/>
    <col min="6675" max="6684" width="3" style="38" hidden="1"/>
    <col min="6685" max="6685" width="3.69921875" style="38" hidden="1"/>
    <col min="6686" max="6687" width="5.09765625" style="38" hidden="1"/>
    <col min="6688" max="6688" width="7.796875" style="38" hidden="1"/>
    <col min="6689" max="6692" width="5.09765625" style="38" hidden="1"/>
    <col min="6693" max="6912" width="4.19921875" style="38" hidden="1"/>
    <col min="6913" max="6913" width="3.69921875" style="38" hidden="1"/>
    <col min="6914" max="6914" width="25.796875" style="38" hidden="1"/>
    <col min="6915" max="6927" width="3" style="38" hidden="1"/>
    <col min="6928" max="6928" width="4.19921875" style="38" hidden="1"/>
    <col min="6929" max="6930" width="5.09765625" style="38" hidden="1"/>
    <col min="6931" max="6940" width="3" style="38" hidden="1"/>
    <col min="6941" max="6941" width="3.69921875" style="38" hidden="1"/>
    <col min="6942" max="6943" width="5.09765625" style="38" hidden="1"/>
    <col min="6944" max="6944" width="7.796875" style="38" hidden="1"/>
    <col min="6945" max="6948" width="5.09765625" style="38" hidden="1"/>
    <col min="6949" max="7168" width="4.19921875" style="38" hidden="1"/>
    <col min="7169" max="7169" width="3.69921875" style="38" hidden="1"/>
    <col min="7170" max="7170" width="25.796875" style="38" hidden="1"/>
    <col min="7171" max="7183" width="3" style="38" hidden="1"/>
    <col min="7184" max="7184" width="4.19921875" style="38" hidden="1"/>
    <col min="7185" max="7186" width="5.09765625" style="38" hidden="1"/>
    <col min="7187" max="7196" width="3" style="38" hidden="1"/>
    <col min="7197" max="7197" width="3.69921875" style="38" hidden="1"/>
    <col min="7198" max="7199" width="5.09765625" style="38" hidden="1"/>
    <col min="7200" max="7200" width="7.796875" style="38" hidden="1"/>
    <col min="7201" max="7204" width="5.09765625" style="38" hidden="1"/>
    <col min="7205" max="7424" width="4.19921875" style="38" hidden="1"/>
    <col min="7425" max="7425" width="3.69921875" style="38" hidden="1"/>
    <col min="7426" max="7426" width="25.796875" style="38" hidden="1"/>
    <col min="7427" max="7439" width="3" style="38" hidden="1"/>
    <col min="7440" max="7440" width="4.19921875" style="38" hidden="1"/>
    <col min="7441" max="7442" width="5.09765625" style="38" hidden="1"/>
    <col min="7443" max="7452" width="3" style="38" hidden="1"/>
    <col min="7453" max="7453" width="3.69921875" style="38" hidden="1"/>
    <col min="7454" max="7455" width="5.09765625" style="38" hidden="1"/>
    <col min="7456" max="7456" width="7.796875" style="38" hidden="1"/>
    <col min="7457" max="7460" width="5.09765625" style="38" hidden="1"/>
    <col min="7461" max="7680" width="4.19921875" style="38" hidden="1"/>
    <col min="7681" max="7681" width="3.69921875" style="38" hidden="1"/>
    <col min="7682" max="7682" width="25.796875" style="38" hidden="1"/>
    <col min="7683" max="7695" width="3" style="38" hidden="1"/>
    <col min="7696" max="7696" width="4.19921875" style="38" hidden="1"/>
    <col min="7697" max="7698" width="5.09765625" style="38" hidden="1"/>
    <col min="7699" max="7708" width="3" style="38" hidden="1"/>
    <col min="7709" max="7709" width="3.69921875" style="38" hidden="1"/>
    <col min="7710" max="7711" width="5.09765625" style="38" hidden="1"/>
    <col min="7712" max="7712" width="7.796875" style="38" hidden="1"/>
    <col min="7713" max="7716" width="5.09765625" style="38" hidden="1"/>
    <col min="7717" max="7936" width="4.19921875" style="38" hidden="1"/>
    <col min="7937" max="7937" width="3.69921875" style="38" hidden="1"/>
    <col min="7938" max="7938" width="25.796875" style="38" hidden="1"/>
    <col min="7939" max="7951" width="3" style="38" hidden="1"/>
    <col min="7952" max="7952" width="4.19921875" style="38" hidden="1"/>
    <col min="7953" max="7954" width="5.09765625" style="38" hidden="1"/>
    <col min="7955" max="7964" width="3" style="38" hidden="1"/>
    <col min="7965" max="7965" width="3.69921875" style="38" hidden="1"/>
    <col min="7966" max="7967" width="5.09765625" style="38" hidden="1"/>
    <col min="7968" max="7968" width="7.796875" style="38" hidden="1"/>
    <col min="7969" max="7972" width="5.09765625" style="38" hidden="1"/>
    <col min="7973" max="8192" width="4.19921875" style="38" hidden="1"/>
    <col min="8193" max="8193" width="3.69921875" style="38" hidden="1"/>
    <col min="8194" max="8194" width="25.796875" style="38" hidden="1"/>
    <col min="8195" max="8207" width="3" style="38" hidden="1"/>
    <col min="8208" max="8208" width="4.19921875" style="38" hidden="1"/>
    <col min="8209" max="8210" width="5.09765625" style="38" hidden="1"/>
    <col min="8211" max="8220" width="3" style="38" hidden="1"/>
    <col min="8221" max="8221" width="3.69921875" style="38" hidden="1"/>
    <col min="8222" max="8223" width="5.09765625" style="38" hidden="1"/>
    <col min="8224" max="8224" width="7.796875" style="38" hidden="1"/>
    <col min="8225" max="8228" width="5.09765625" style="38" hidden="1"/>
    <col min="8229" max="8448" width="4.19921875" style="38" hidden="1"/>
    <col min="8449" max="8449" width="3.69921875" style="38" hidden="1"/>
    <col min="8450" max="8450" width="25.796875" style="38" hidden="1"/>
    <col min="8451" max="8463" width="3" style="38" hidden="1"/>
    <col min="8464" max="8464" width="4.19921875" style="38" hidden="1"/>
    <col min="8465" max="8466" width="5.09765625" style="38" hidden="1"/>
    <col min="8467" max="8476" width="3" style="38" hidden="1"/>
    <col min="8477" max="8477" width="3.69921875" style="38" hidden="1"/>
    <col min="8478" max="8479" width="5.09765625" style="38" hidden="1"/>
    <col min="8480" max="8480" width="7.796875" style="38" hidden="1"/>
    <col min="8481" max="8484" width="5.09765625" style="38" hidden="1"/>
    <col min="8485" max="8704" width="4.19921875" style="38" hidden="1"/>
    <col min="8705" max="8705" width="3.69921875" style="38" hidden="1"/>
    <col min="8706" max="8706" width="25.796875" style="38" hidden="1"/>
    <col min="8707" max="8719" width="3" style="38" hidden="1"/>
    <col min="8720" max="8720" width="4.19921875" style="38" hidden="1"/>
    <col min="8721" max="8722" width="5.09765625" style="38" hidden="1"/>
    <col min="8723" max="8732" width="3" style="38" hidden="1"/>
    <col min="8733" max="8733" width="3.69921875" style="38" hidden="1"/>
    <col min="8734" max="8735" width="5.09765625" style="38" hidden="1"/>
    <col min="8736" max="8736" width="7.796875" style="38" hidden="1"/>
    <col min="8737" max="8740" width="5.09765625" style="38" hidden="1"/>
    <col min="8741" max="8960" width="4.19921875" style="38" hidden="1"/>
    <col min="8961" max="8961" width="3.69921875" style="38" hidden="1"/>
    <col min="8962" max="8962" width="25.796875" style="38" hidden="1"/>
    <col min="8963" max="8975" width="3" style="38" hidden="1"/>
    <col min="8976" max="8976" width="4.19921875" style="38" hidden="1"/>
    <col min="8977" max="8978" width="5.09765625" style="38" hidden="1"/>
    <col min="8979" max="8988" width="3" style="38" hidden="1"/>
    <col min="8989" max="8989" width="3.69921875" style="38" hidden="1"/>
    <col min="8990" max="8991" width="5.09765625" style="38" hidden="1"/>
    <col min="8992" max="8992" width="7.796875" style="38" hidden="1"/>
    <col min="8993" max="8996" width="5.09765625" style="38" hidden="1"/>
    <col min="8997" max="9216" width="4.19921875" style="38" hidden="1"/>
    <col min="9217" max="9217" width="3.69921875" style="38" hidden="1"/>
    <col min="9218" max="9218" width="25.796875" style="38" hidden="1"/>
    <col min="9219" max="9231" width="3" style="38" hidden="1"/>
    <col min="9232" max="9232" width="4.19921875" style="38" hidden="1"/>
    <col min="9233" max="9234" width="5.09765625" style="38" hidden="1"/>
    <col min="9235" max="9244" width="3" style="38" hidden="1"/>
    <col min="9245" max="9245" width="3.69921875" style="38" hidden="1"/>
    <col min="9246" max="9247" width="5.09765625" style="38" hidden="1"/>
    <col min="9248" max="9248" width="7.796875" style="38" hidden="1"/>
    <col min="9249" max="9252" width="5.09765625" style="38" hidden="1"/>
    <col min="9253" max="9472" width="4.19921875" style="38" hidden="1"/>
    <col min="9473" max="9473" width="3.69921875" style="38" hidden="1"/>
    <col min="9474" max="9474" width="25.796875" style="38" hidden="1"/>
    <col min="9475" max="9487" width="3" style="38" hidden="1"/>
    <col min="9488" max="9488" width="4.19921875" style="38" hidden="1"/>
    <col min="9489" max="9490" width="5.09765625" style="38" hidden="1"/>
    <col min="9491" max="9500" width="3" style="38" hidden="1"/>
    <col min="9501" max="9501" width="3.69921875" style="38" hidden="1"/>
    <col min="9502" max="9503" width="5.09765625" style="38" hidden="1"/>
    <col min="9504" max="9504" width="7.796875" style="38" hidden="1"/>
    <col min="9505" max="9508" width="5.09765625" style="38" hidden="1"/>
    <col min="9509" max="9728" width="4.19921875" style="38" hidden="1"/>
    <col min="9729" max="9729" width="3.69921875" style="38" hidden="1"/>
    <col min="9730" max="9730" width="25.796875" style="38" hidden="1"/>
    <col min="9731" max="9743" width="3" style="38" hidden="1"/>
    <col min="9744" max="9744" width="4.19921875" style="38" hidden="1"/>
    <col min="9745" max="9746" width="5.09765625" style="38" hidden="1"/>
    <col min="9747" max="9756" width="3" style="38" hidden="1"/>
    <col min="9757" max="9757" width="3.69921875" style="38" hidden="1"/>
    <col min="9758" max="9759" width="5.09765625" style="38" hidden="1"/>
    <col min="9760" max="9760" width="7.796875" style="38" hidden="1"/>
    <col min="9761" max="9764" width="5.09765625" style="38" hidden="1"/>
    <col min="9765" max="9984" width="4.19921875" style="38" hidden="1"/>
    <col min="9985" max="9985" width="3.69921875" style="38" hidden="1"/>
    <col min="9986" max="9986" width="25.796875" style="38" hidden="1"/>
    <col min="9987" max="9999" width="3" style="38" hidden="1"/>
    <col min="10000" max="10000" width="4.19921875" style="38" hidden="1"/>
    <col min="10001" max="10002" width="5.09765625" style="38" hidden="1"/>
    <col min="10003" max="10012" width="3" style="38" hidden="1"/>
    <col min="10013" max="10013" width="3.69921875" style="38" hidden="1"/>
    <col min="10014" max="10015" width="5.09765625" style="38" hidden="1"/>
    <col min="10016" max="10016" width="7.796875" style="38" hidden="1"/>
    <col min="10017" max="10020" width="5.09765625" style="38" hidden="1"/>
    <col min="10021" max="10240" width="4.19921875" style="38" hidden="1"/>
    <col min="10241" max="10241" width="3.69921875" style="38" hidden="1"/>
    <col min="10242" max="10242" width="25.796875" style="38" hidden="1"/>
    <col min="10243" max="10255" width="3" style="38" hidden="1"/>
    <col min="10256" max="10256" width="4.19921875" style="38" hidden="1"/>
    <col min="10257" max="10258" width="5.09765625" style="38" hidden="1"/>
    <col min="10259" max="10268" width="3" style="38" hidden="1"/>
    <col min="10269" max="10269" width="3.69921875" style="38" hidden="1"/>
    <col min="10270" max="10271" width="5.09765625" style="38" hidden="1"/>
    <col min="10272" max="10272" width="7.796875" style="38" hidden="1"/>
    <col min="10273" max="10276" width="5.09765625" style="38" hidden="1"/>
    <col min="10277" max="10496" width="4.19921875" style="38" hidden="1"/>
    <col min="10497" max="10497" width="3.69921875" style="38" hidden="1"/>
    <col min="10498" max="10498" width="25.796875" style="38" hidden="1"/>
    <col min="10499" max="10511" width="3" style="38" hidden="1"/>
    <col min="10512" max="10512" width="4.19921875" style="38" hidden="1"/>
    <col min="10513" max="10514" width="5.09765625" style="38" hidden="1"/>
    <col min="10515" max="10524" width="3" style="38" hidden="1"/>
    <col min="10525" max="10525" width="3.69921875" style="38" hidden="1"/>
    <col min="10526" max="10527" width="5.09765625" style="38" hidden="1"/>
    <col min="10528" max="10528" width="7.796875" style="38" hidden="1"/>
    <col min="10529" max="10532" width="5.09765625" style="38" hidden="1"/>
    <col min="10533" max="10752" width="4.19921875" style="38" hidden="1"/>
    <col min="10753" max="10753" width="3.69921875" style="38" hidden="1"/>
    <col min="10754" max="10754" width="25.796875" style="38" hidden="1"/>
    <col min="10755" max="10767" width="3" style="38" hidden="1"/>
    <col min="10768" max="10768" width="4.19921875" style="38" hidden="1"/>
    <col min="10769" max="10770" width="5.09765625" style="38" hidden="1"/>
    <col min="10771" max="10780" width="3" style="38" hidden="1"/>
    <col min="10781" max="10781" width="3.69921875" style="38" hidden="1"/>
    <col min="10782" max="10783" width="5.09765625" style="38" hidden="1"/>
    <col min="10784" max="10784" width="7.796875" style="38" hidden="1"/>
    <col min="10785" max="10788" width="5.09765625" style="38" hidden="1"/>
    <col min="10789" max="11008" width="4.19921875" style="38" hidden="1"/>
    <col min="11009" max="11009" width="3.69921875" style="38" hidden="1"/>
    <col min="11010" max="11010" width="25.796875" style="38" hidden="1"/>
    <col min="11011" max="11023" width="3" style="38" hidden="1"/>
    <col min="11024" max="11024" width="4.19921875" style="38" hidden="1"/>
    <col min="11025" max="11026" width="5.09765625" style="38" hidden="1"/>
    <col min="11027" max="11036" width="3" style="38" hidden="1"/>
    <col min="11037" max="11037" width="3.69921875" style="38" hidden="1"/>
    <col min="11038" max="11039" width="5.09765625" style="38" hidden="1"/>
    <col min="11040" max="11040" width="7.796875" style="38" hidden="1"/>
    <col min="11041" max="11044" width="5.09765625" style="38" hidden="1"/>
    <col min="11045" max="11264" width="4.19921875" style="38" hidden="1"/>
    <col min="11265" max="11265" width="3.69921875" style="38" hidden="1"/>
    <col min="11266" max="11266" width="25.796875" style="38" hidden="1"/>
    <col min="11267" max="11279" width="3" style="38" hidden="1"/>
    <col min="11280" max="11280" width="4.19921875" style="38" hidden="1"/>
    <col min="11281" max="11282" width="5.09765625" style="38" hidden="1"/>
    <col min="11283" max="11292" width="3" style="38" hidden="1"/>
    <col min="11293" max="11293" width="3.69921875" style="38" hidden="1"/>
    <col min="11294" max="11295" width="5.09765625" style="38" hidden="1"/>
    <col min="11296" max="11296" width="7.796875" style="38" hidden="1"/>
    <col min="11297" max="11300" width="5.09765625" style="38" hidden="1"/>
    <col min="11301" max="11520" width="4.19921875" style="38" hidden="1"/>
    <col min="11521" max="11521" width="3.69921875" style="38" hidden="1"/>
    <col min="11522" max="11522" width="25.796875" style="38" hidden="1"/>
    <col min="11523" max="11535" width="3" style="38" hidden="1"/>
    <col min="11536" max="11536" width="4.19921875" style="38" hidden="1"/>
    <col min="11537" max="11538" width="5.09765625" style="38" hidden="1"/>
    <col min="11539" max="11548" width="3" style="38" hidden="1"/>
    <col min="11549" max="11549" width="3.69921875" style="38" hidden="1"/>
    <col min="11550" max="11551" width="5.09765625" style="38" hidden="1"/>
    <col min="11552" max="11552" width="7.796875" style="38" hidden="1"/>
    <col min="11553" max="11556" width="5.09765625" style="38" hidden="1"/>
    <col min="11557" max="11776" width="4.19921875" style="38" hidden="1"/>
    <col min="11777" max="11777" width="3.69921875" style="38" hidden="1"/>
    <col min="11778" max="11778" width="25.796875" style="38" hidden="1"/>
    <col min="11779" max="11791" width="3" style="38" hidden="1"/>
    <col min="11792" max="11792" width="4.19921875" style="38" hidden="1"/>
    <col min="11793" max="11794" width="5.09765625" style="38" hidden="1"/>
    <col min="11795" max="11804" width="3" style="38" hidden="1"/>
    <col min="11805" max="11805" width="3.69921875" style="38" hidden="1"/>
    <col min="11806" max="11807" width="5.09765625" style="38" hidden="1"/>
    <col min="11808" max="11808" width="7.796875" style="38" hidden="1"/>
    <col min="11809" max="11812" width="5.09765625" style="38" hidden="1"/>
    <col min="11813" max="12032" width="4.19921875" style="38" hidden="1"/>
    <col min="12033" max="12033" width="3.69921875" style="38" hidden="1"/>
    <col min="12034" max="12034" width="25.796875" style="38" hidden="1"/>
    <col min="12035" max="12047" width="3" style="38" hidden="1"/>
    <col min="12048" max="12048" width="4.19921875" style="38" hidden="1"/>
    <col min="12049" max="12050" width="5.09765625" style="38" hidden="1"/>
    <col min="12051" max="12060" width="3" style="38" hidden="1"/>
    <col min="12061" max="12061" width="3.69921875" style="38" hidden="1"/>
    <col min="12062" max="12063" width="5.09765625" style="38" hidden="1"/>
    <col min="12064" max="12064" width="7.796875" style="38" hidden="1"/>
    <col min="12065" max="12068" width="5.09765625" style="38" hidden="1"/>
    <col min="12069" max="12288" width="4.19921875" style="38" hidden="1"/>
    <col min="12289" max="12289" width="3.69921875" style="38" hidden="1"/>
    <col min="12290" max="12290" width="25.796875" style="38" hidden="1"/>
    <col min="12291" max="12303" width="3" style="38" hidden="1"/>
    <col min="12304" max="12304" width="4.19921875" style="38" hidden="1"/>
    <col min="12305" max="12306" width="5.09765625" style="38" hidden="1"/>
    <col min="12307" max="12316" width="3" style="38" hidden="1"/>
    <col min="12317" max="12317" width="3.69921875" style="38" hidden="1"/>
    <col min="12318" max="12319" width="5.09765625" style="38" hidden="1"/>
    <col min="12320" max="12320" width="7.796875" style="38" hidden="1"/>
    <col min="12321" max="12324" width="5.09765625" style="38" hidden="1"/>
    <col min="12325" max="12544" width="4.19921875" style="38" hidden="1"/>
    <col min="12545" max="12545" width="3.69921875" style="38" hidden="1"/>
    <col min="12546" max="12546" width="25.796875" style="38" hidden="1"/>
    <col min="12547" max="12559" width="3" style="38" hidden="1"/>
    <col min="12560" max="12560" width="4.19921875" style="38" hidden="1"/>
    <col min="12561" max="12562" width="5.09765625" style="38" hidden="1"/>
    <col min="12563" max="12572" width="3" style="38" hidden="1"/>
    <col min="12573" max="12573" width="3.69921875" style="38" hidden="1"/>
    <col min="12574" max="12575" width="5.09765625" style="38" hidden="1"/>
    <col min="12576" max="12576" width="7.796875" style="38" hidden="1"/>
    <col min="12577" max="12580" width="5.09765625" style="38" hidden="1"/>
    <col min="12581" max="12800" width="4.19921875" style="38" hidden="1"/>
    <col min="12801" max="12801" width="3.69921875" style="38" hidden="1"/>
    <col min="12802" max="12802" width="25.796875" style="38" hidden="1"/>
    <col min="12803" max="12815" width="3" style="38" hidden="1"/>
    <col min="12816" max="12816" width="4.19921875" style="38" hidden="1"/>
    <col min="12817" max="12818" width="5.09765625" style="38" hidden="1"/>
    <col min="12819" max="12828" width="3" style="38" hidden="1"/>
    <col min="12829" max="12829" width="3.69921875" style="38" hidden="1"/>
    <col min="12830" max="12831" width="5.09765625" style="38" hidden="1"/>
    <col min="12832" max="12832" width="7.796875" style="38" hidden="1"/>
    <col min="12833" max="12836" width="5.09765625" style="38" hidden="1"/>
    <col min="12837" max="13056" width="4.19921875" style="38" hidden="1"/>
    <col min="13057" max="13057" width="3.69921875" style="38" hidden="1"/>
    <col min="13058" max="13058" width="25.796875" style="38" hidden="1"/>
    <col min="13059" max="13071" width="3" style="38" hidden="1"/>
    <col min="13072" max="13072" width="4.19921875" style="38" hidden="1"/>
    <col min="13073" max="13074" width="5.09765625" style="38" hidden="1"/>
    <col min="13075" max="13084" width="3" style="38" hidden="1"/>
    <col min="13085" max="13085" width="3.69921875" style="38" hidden="1"/>
    <col min="13086" max="13087" width="5.09765625" style="38" hidden="1"/>
    <col min="13088" max="13088" width="7.796875" style="38" hidden="1"/>
    <col min="13089" max="13092" width="5.09765625" style="38" hidden="1"/>
    <col min="13093" max="13312" width="4.19921875" style="38" hidden="1"/>
    <col min="13313" max="13313" width="3.69921875" style="38" hidden="1"/>
    <col min="13314" max="13314" width="25.796875" style="38" hidden="1"/>
    <col min="13315" max="13327" width="3" style="38" hidden="1"/>
    <col min="13328" max="13328" width="4.19921875" style="38" hidden="1"/>
    <col min="13329" max="13330" width="5.09765625" style="38" hidden="1"/>
    <col min="13331" max="13340" width="3" style="38" hidden="1"/>
    <col min="13341" max="13341" width="3.69921875" style="38" hidden="1"/>
    <col min="13342" max="13343" width="5.09765625" style="38" hidden="1"/>
    <col min="13344" max="13344" width="7.796875" style="38" hidden="1"/>
    <col min="13345" max="13348" width="5.09765625" style="38" hidden="1"/>
    <col min="13349" max="13568" width="4.19921875" style="38" hidden="1"/>
    <col min="13569" max="13569" width="3.69921875" style="38" hidden="1"/>
    <col min="13570" max="13570" width="25.796875" style="38" hidden="1"/>
    <col min="13571" max="13583" width="3" style="38" hidden="1"/>
    <col min="13584" max="13584" width="4.19921875" style="38" hidden="1"/>
    <col min="13585" max="13586" width="5.09765625" style="38" hidden="1"/>
    <col min="13587" max="13596" width="3" style="38" hidden="1"/>
    <col min="13597" max="13597" width="3.69921875" style="38" hidden="1"/>
    <col min="13598" max="13599" width="5.09765625" style="38" hidden="1"/>
    <col min="13600" max="13600" width="7.796875" style="38" hidden="1"/>
    <col min="13601" max="13604" width="5.09765625" style="38" hidden="1"/>
    <col min="13605" max="13824" width="4.19921875" style="38" hidden="1"/>
    <col min="13825" max="13825" width="3.69921875" style="38" hidden="1"/>
    <col min="13826" max="13826" width="25.796875" style="38" hidden="1"/>
    <col min="13827" max="13839" width="3" style="38" hidden="1"/>
    <col min="13840" max="13840" width="4.19921875" style="38" hidden="1"/>
    <col min="13841" max="13842" width="5.09765625" style="38" hidden="1"/>
    <col min="13843" max="13852" width="3" style="38" hidden="1"/>
    <col min="13853" max="13853" width="3.69921875" style="38" hidden="1"/>
    <col min="13854" max="13855" width="5.09765625" style="38" hidden="1"/>
    <col min="13856" max="13856" width="7.796875" style="38" hidden="1"/>
    <col min="13857" max="13860" width="5.09765625" style="38" hidden="1"/>
    <col min="13861" max="14080" width="4.19921875" style="38" hidden="1"/>
    <col min="14081" max="14081" width="3.69921875" style="38" hidden="1"/>
    <col min="14082" max="14082" width="25.796875" style="38" hidden="1"/>
    <col min="14083" max="14095" width="3" style="38" hidden="1"/>
    <col min="14096" max="14096" width="4.19921875" style="38" hidden="1"/>
    <col min="14097" max="14098" width="5.09765625" style="38" hidden="1"/>
    <col min="14099" max="14108" width="3" style="38" hidden="1"/>
    <col min="14109" max="14109" width="3.69921875" style="38" hidden="1"/>
    <col min="14110" max="14111" width="5.09765625" style="38" hidden="1"/>
    <col min="14112" max="14112" width="7.796875" style="38" hidden="1"/>
    <col min="14113" max="14116" width="5.09765625" style="38" hidden="1"/>
    <col min="14117" max="14336" width="4.19921875" style="38" hidden="1"/>
    <col min="14337" max="14337" width="3.69921875" style="38" hidden="1"/>
    <col min="14338" max="14338" width="25.796875" style="38" hidden="1"/>
    <col min="14339" max="14351" width="3" style="38" hidden="1"/>
    <col min="14352" max="14352" width="4.19921875" style="38" hidden="1"/>
    <col min="14353" max="14354" width="5.09765625" style="38" hidden="1"/>
    <col min="14355" max="14364" width="3" style="38" hidden="1"/>
    <col min="14365" max="14365" width="3.69921875" style="38" hidden="1"/>
    <col min="14366" max="14367" width="5.09765625" style="38" hidden="1"/>
    <col min="14368" max="14368" width="7.796875" style="38" hidden="1"/>
    <col min="14369" max="14372" width="5.09765625" style="38" hidden="1"/>
    <col min="14373" max="14592" width="4.19921875" style="38" hidden="1"/>
    <col min="14593" max="14593" width="3.69921875" style="38" hidden="1"/>
    <col min="14594" max="14594" width="25.796875" style="38" hidden="1"/>
    <col min="14595" max="14607" width="3" style="38" hidden="1"/>
    <col min="14608" max="14608" width="4.19921875" style="38" hidden="1"/>
    <col min="14609" max="14610" width="5.09765625" style="38" hidden="1"/>
    <col min="14611" max="14620" width="3" style="38" hidden="1"/>
    <col min="14621" max="14621" width="3.69921875" style="38" hidden="1"/>
    <col min="14622" max="14623" width="5.09765625" style="38" hidden="1"/>
    <col min="14624" max="14624" width="7.796875" style="38" hidden="1"/>
    <col min="14625" max="14628" width="5.09765625" style="38" hidden="1"/>
    <col min="14629" max="14848" width="4.19921875" style="38" hidden="1"/>
    <col min="14849" max="14849" width="3.69921875" style="38" hidden="1"/>
    <col min="14850" max="14850" width="25.796875" style="38" hidden="1"/>
    <col min="14851" max="14863" width="3" style="38" hidden="1"/>
    <col min="14864" max="14864" width="4.19921875" style="38" hidden="1"/>
    <col min="14865" max="14866" width="5.09765625" style="38" hidden="1"/>
    <col min="14867" max="14876" width="3" style="38" hidden="1"/>
    <col min="14877" max="14877" width="3.69921875" style="38" hidden="1"/>
    <col min="14878" max="14879" width="5.09765625" style="38" hidden="1"/>
    <col min="14880" max="14880" width="7.796875" style="38" hidden="1"/>
    <col min="14881" max="14884" width="5.09765625" style="38" hidden="1"/>
    <col min="14885" max="15104" width="4.19921875" style="38" hidden="1"/>
    <col min="15105" max="15105" width="3.69921875" style="38" hidden="1"/>
    <col min="15106" max="15106" width="25.796875" style="38" hidden="1"/>
    <col min="15107" max="15119" width="3" style="38" hidden="1"/>
    <col min="15120" max="15120" width="4.19921875" style="38" hidden="1"/>
    <col min="15121" max="15122" width="5.09765625" style="38" hidden="1"/>
    <col min="15123" max="15132" width="3" style="38" hidden="1"/>
    <col min="15133" max="15133" width="3.69921875" style="38" hidden="1"/>
    <col min="15134" max="15135" width="5.09765625" style="38" hidden="1"/>
    <col min="15136" max="15136" width="7.796875" style="38" hidden="1"/>
    <col min="15137" max="15140" width="5.09765625" style="38" hidden="1"/>
    <col min="15141" max="15360" width="4.19921875" style="38" hidden="1"/>
    <col min="15361" max="15361" width="3.69921875" style="38" hidden="1"/>
    <col min="15362" max="15362" width="25.796875" style="38" hidden="1"/>
    <col min="15363" max="15375" width="3" style="38" hidden="1"/>
    <col min="15376" max="15376" width="4.19921875" style="38" hidden="1"/>
    <col min="15377" max="15378" width="5.09765625" style="38" hidden="1"/>
    <col min="15379" max="15388" width="3" style="38" hidden="1"/>
    <col min="15389" max="15389" width="3.69921875" style="38" hidden="1"/>
    <col min="15390" max="15391" width="5.09765625" style="38" hidden="1"/>
    <col min="15392" max="15392" width="7.796875" style="38" hidden="1"/>
    <col min="15393" max="15396" width="5.09765625" style="38" hidden="1"/>
    <col min="15397" max="15616" width="4.19921875" style="38" hidden="1"/>
    <col min="15617" max="15617" width="3.69921875" style="38" hidden="1"/>
    <col min="15618" max="15618" width="25.796875" style="38" hidden="1"/>
    <col min="15619" max="15631" width="3" style="38" hidden="1"/>
    <col min="15632" max="15632" width="4.19921875" style="38" hidden="1"/>
    <col min="15633" max="15634" width="5.09765625" style="38" hidden="1"/>
    <col min="15635" max="15644" width="3" style="38" hidden="1"/>
    <col min="15645" max="15645" width="3.69921875" style="38" hidden="1"/>
    <col min="15646" max="15647" width="5.09765625" style="38" hidden="1"/>
    <col min="15648" max="15648" width="7.796875" style="38" hidden="1"/>
    <col min="15649" max="15652" width="5.09765625" style="38" hidden="1"/>
    <col min="15653" max="15872" width="4.19921875" style="38" hidden="1"/>
    <col min="15873" max="15873" width="3.69921875" style="38" hidden="1"/>
    <col min="15874" max="15874" width="25.796875" style="38" hidden="1"/>
    <col min="15875" max="15887" width="3" style="38" hidden="1"/>
    <col min="15888" max="15888" width="4.19921875" style="38" hidden="1"/>
    <col min="15889" max="15890" width="5.09765625" style="38" hidden="1"/>
    <col min="15891" max="15900" width="3" style="38" hidden="1"/>
    <col min="15901" max="15901" width="3.69921875" style="38" hidden="1"/>
    <col min="15902" max="15903" width="5.09765625" style="38" hidden="1"/>
    <col min="15904" max="15904" width="7.796875" style="38" hidden="1"/>
    <col min="15905" max="15908" width="5.09765625" style="38" hidden="1"/>
    <col min="15909" max="16128" width="4.19921875" style="38" hidden="1"/>
    <col min="16129" max="16129" width="3.69921875" style="38" hidden="1"/>
    <col min="16130" max="16130" width="25.796875" style="38" hidden="1"/>
    <col min="16131" max="16143" width="3" style="38" hidden="1"/>
    <col min="16144" max="16144" width="4.19921875" style="38" hidden="1"/>
    <col min="16145" max="16146" width="5.09765625" style="38" hidden="1"/>
    <col min="16147" max="16156" width="3" style="38" hidden="1"/>
    <col min="16157" max="16157" width="3.69921875" style="38" hidden="1"/>
    <col min="16158" max="16159" width="5.09765625" style="38" hidden="1"/>
    <col min="16160" max="16160" width="7.796875" style="38" hidden="1"/>
    <col min="16161" max="16164" width="5.09765625" style="38" hidden="1"/>
    <col min="16165" max="16384" width="4.19921875" style="38" hidden="1"/>
  </cols>
  <sheetData>
    <row r="1" spans="1:58" ht="15" customHeight="1">
      <c r="A1" s="245" t="s">
        <v>52</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row>
    <row r="2" spans="1:58" ht="15" customHeight="1">
      <c r="A2" s="245"/>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5"/>
      <c r="AE2" s="245"/>
      <c r="AF2" s="245"/>
      <c r="AG2" s="245"/>
      <c r="AH2" s="245"/>
      <c r="AI2" s="245"/>
      <c r="AJ2" s="245"/>
    </row>
    <row r="3" spans="1:58" ht="15" customHeight="1" thickBot="1">
      <c r="A3" s="246" t="s">
        <v>53</v>
      </c>
      <c r="B3" s="246"/>
      <c r="C3" s="246"/>
      <c r="D3" s="246"/>
      <c r="E3" s="246"/>
      <c r="F3" s="246"/>
      <c r="G3" s="246"/>
      <c r="H3" s="246"/>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row>
    <row r="4" spans="1:58" ht="21" customHeight="1" thickBot="1">
      <c r="B4" s="41"/>
      <c r="C4" s="235" t="s">
        <v>54</v>
      </c>
      <c r="D4" s="235"/>
      <c r="E4" s="235"/>
      <c r="F4" s="235"/>
      <c r="G4" s="247" t="s">
        <v>55</v>
      </c>
      <c r="H4" s="248"/>
      <c r="I4" s="248"/>
      <c r="J4" s="249"/>
      <c r="K4" s="42"/>
      <c r="L4" s="240" t="s">
        <v>56</v>
      </c>
      <c r="M4" s="240"/>
      <c r="N4" s="240"/>
      <c r="O4" s="250" t="s">
        <v>57</v>
      </c>
      <c r="P4" s="251"/>
      <c r="Q4" s="251"/>
      <c r="R4" s="252"/>
      <c r="S4" s="43"/>
      <c r="T4" s="239"/>
      <c r="U4" s="239"/>
      <c r="V4" s="239"/>
      <c r="W4" s="239"/>
      <c r="X4" s="253"/>
      <c r="Y4" s="253"/>
      <c r="Z4" s="253"/>
      <c r="AA4" s="253"/>
      <c r="AB4" s="253"/>
      <c r="AC4" s="253"/>
      <c r="AD4" s="44"/>
      <c r="AE4" s="45"/>
      <c r="AF4" s="43"/>
      <c r="AG4" s="43"/>
      <c r="AH4" s="43"/>
      <c r="AI4" s="43"/>
      <c r="AJ4" s="46"/>
      <c r="AK4" s="46"/>
      <c r="AL4" s="46"/>
      <c r="AM4" s="46"/>
      <c r="AN4" s="46"/>
    </row>
    <row r="5" spans="1:58" ht="21" customHeight="1" thickBot="1">
      <c r="B5" s="235" t="s">
        <v>58</v>
      </c>
      <c r="C5" s="235"/>
      <c r="D5" s="235"/>
      <c r="E5" s="235"/>
      <c r="F5" s="235"/>
      <c r="G5" s="236" t="s">
        <v>59</v>
      </c>
      <c r="H5" s="237"/>
      <c r="I5" s="237"/>
      <c r="J5" s="237"/>
      <c r="K5" s="237"/>
      <c r="L5" s="237"/>
      <c r="M5" s="237"/>
      <c r="N5" s="237"/>
      <c r="O5" s="237"/>
      <c r="P5" s="237"/>
      <c r="Q5" s="237"/>
      <c r="R5" s="238"/>
      <c r="S5" s="42"/>
      <c r="T5" s="239" t="s">
        <v>60</v>
      </c>
      <c r="U5" s="239"/>
      <c r="V5" s="239"/>
      <c r="W5" s="239"/>
      <c r="X5" s="236" t="s">
        <v>61</v>
      </c>
      <c r="Y5" s="237"/>
      <c r="Z5" s="237"/>
      <c r="AA5" s="237"/>
      <c r="AB5" s="237"/>
      <c r="AC5" s="238"/>
      <c r="AD5" s="240" t="s">
        <v>62</v>
      </c>
      <c r="AE5" s="240"/>
      <c r="AF5" s="241"/>
      <c r="AG5" s="242" t="s">
        <v>63</v>
      </c>
      <c r="AH5" s="243"/>
      <c r="AI5" s="244"/>
      <c r="AJ5" s="47"/>
      <c r="AK5" s="46"/>
      <c r="AL5" s="46"/>
      <c r="AM5" s="46"/>
      <c r="AN5" s="46"/>
    </row>
    <row r="6" spans="1:58" ht="14.4" thickBot="1"/>
    <row r="7" spans="1:58" ht="23.25" customHeight="1" thickBot="1">
      <c r="A7" s="221" t="s">
        <v>64</v>
      </c>
      <c r="B7" s="222"/>
      <c r="C7" s="222"/>
      <c r="D7" s="222"/>
      <c r="E7" s="223"/>
      <c r="F7" s="224" t="s">
        <v>65</v>
      </c>
      <c r="G7" s="225"/>
      <c r="H7" s="225"/>
      <c r="I7" s="225"/>
      <c r="J7" s="225"/>
      <c r="K7" s="226" t="s">
        <v>66</v>
      </c>
      <c r="L7" s="227"/>
      <c r="M7" s="227"/>
      <c r="N7" s="227"/>
      <c r="O7" s="227"/>
      <c r="P7" s="228"/>
      <c r="Q7" s="229" t="s">
        <v>67</v>
      </c>
      <c r="R7" s="230"/>
      <c r="S7" s="231" t="s">
        <v>68</v>
      </c>
      <c r="T7" s="231"/>
      <c r="U7" s="231"/>
      <c r="V7" s="231"/>
      <c r="W7" s="231"/>
      <c r="X7" s="231"/>
      <c r="Y7" s="231"/>
      <c r="Z7" s="231"/>
      <c r="AA7" s="231"/>
      <c r="AB7" s="232"/>
      <c r="AC7" s="233" t="s">
        <v>69</v>
      </c>
      <c r="AD7" s="234"/>
      <c r="AE7" s="234"/>
      <c r="AF7" s="234"/>
      <c r="AG7" s="206" t="s">
        <v>70</v>
      </c>
      <c r="AH7" s="207"/>
      <c r="AI7" s="207"/>
      <c r="AJ7" s="208"/>
    </row>
    <row r="8" spans="1:58" s="49" customFormat="1" ht="55.5" customHeight="1" thickBot="1">
      <c r="A8" s="50"/>
      <c r="B8" s="209" t="s">
        <v>71</v>
      </c>
      <c r="C8" s="210"/>
      <c r="D8" s="210"/>
      <c r="E8" s="210"/>
      <c r="F8" s="211" t="s">
        <v>72</v>
      </c>
      <c r="G8" s="212"/>
      <c r="H8" s="212"/>
      <c r="I8" s="212"/>
      <c r="J8" s="212"/>
      <c r="K8" s="212"/>
      <c r="L8" s="212"/>
      <c r="M8" s="212"/>
      <c r="N8" s="212"/>
      <c r="O8" s="212"/>
      <c r="P8" s="212"/>
      <c r="Q8" s="212"/>
      <c r="R8" s="213"/>
      <c r="S8" s="211" t="s">
        <v>73</v>
      </c>
      <c r="T8" s="212"/>
      <c r="U8" s="212"/>
      <c r="V8" s="212"/>
      <c r="W8" s="212"/>
      <c r="X8" s="212"/>
      <c r="Y8" s="212"/>
      <c r="Z8" s="212"/>
      <c r="AA8" s="212"/>
      <c r="AB8" s="212"/>
      <c r="AC8" s="212"/>
      <c r="AD8" s="212"/>
      <c r="AE8" s="213"/>
      <c r="AF8" s="214" t="s">
        <v>74</v>
      </c>
      <c r="AG8" s="215"/>
      <c r="AH8" s="216"/>
      <c r="AI8" s="51" t="s">
        <v>75</v>
      </c>
      <c r="AJ8" s="52" t="s">
        <v>76</v>
      </c>
    </row>
    <row r="9" spans="1:58" s="63" customFormat="1" ht="18" customHeight="1" thickBot="1">
      <c r="A9" s="53"/>
      <c r="B9" s="54"/>
      <c r="C9" s="54"/>
      <c r="D9" s="54"/>
      <c r="E9" s="54"/>
      <c r="F9" s="55">
        <v>1</v>
      </c>
      <c r="G9" s="56">
        <v>2</v>
      </c>
      <c r="H9" s="56">
        <v>3</v>
      </c>
      <c r="I9" s="56">
        <v>4</v>
      </c>
      <c r="J9" s="56">
        <v>5</v>
      </c>
      <c r="K9" s="56">
        <v>6</v>
      </c>
      <c r="L9" s="56">
        <v>7</v>
      </c>
      <c r="M9" s="56">
        <v>8</v>
      </c>
      <c r="N9" s="56">
        <v>9</v>
      </c>
      <c r="O9" s="56">
        <v>10</v>
      </c>
      <c r="P9" s="57" t="s">
        <v>77</v>
      </c>
      <c r="Q9" s="58" t="s">
        <v>78</v>
      </c>
      <c r="R9" s="59" t="s">
        <v>79</v>
      </c>
      <c r="S9" s="55">
        <v>1</v>
      </c>
      <c r="T9" s="56">
        <v>2</v>
      </c>
      <c r="U9" s="56">
        <v>3</v>
      </c>
      <c r="V9" s="56">
        <v>4</v>
      </c>
      <c r="W9" s="56">
        <v>5</v>
      </c>
      <c r="X9" s="56">
        <v>6</v>
      </c>
      <c r="Y9" s="56">
        <v>7</v>
      </c>
      <c r="Z9" s="56">
        <v>8</v>
      </c>
      <c r="AA9" s="56">
        <v>9</v>
      </c>
      <c r="AB9" s="56">
        <v>10</v>
      </c>
      <c r="AC9" s="57" t="s">
        <v>77</v>
      </c>
      <c r="AD9" s="58" t="s">
        <v>78</v>
      </c>
      <c r="AE9" s="59" t="s">
        <v>79</v>
      </c>
      <c r="AF9" s="60">
        <v>1</v>
      </c>
      <c r="AG9" s="61" t="s">
        <v>78</v>
      </c>
      <c r="AH9" s="62" t="s">
        <v>79</v>
      </c>
      <c r="AI9" s="217" t="s">
        <v>80</v>
      </c>
      <c r="AJ9" s="219" t="s">
        <v>80</v>
      </c>
      <c r="AN9" s="203"/>
      <c r="AO9" s="203"/>
      <c r="AP9" s="203"/>
      <c r="AQ9" s="203"/>
      <c r="AR9" s="203"/>
      <c r="AS9" s="203"/>
      <c r="AT9" s="203"/>
      <c r="AU9" s="203"/>
      <c r="AV9" s="203"/>
      <c r="AW9" s="203"/>
      <c r="AX9" s="203"/>
      <c r="AY9" s="203"/>
      <c r="AZ9" s="203"/>
      <c r="BA9" s="203"/>
      <c r="BB9" s="203"/>
      <c r="BC9" s="203"/>
      <c r="BD9" s="203"/>
      <c r="BE9" s="203"/>
      <c r="BF9" s="203"/>
    </row>
    <row r="10" spans="1:58" s="72" customFormat="1" ht="18" customHeight="1" thickBot="1">
      <c r="A10" s="64"/>
      <c r="B10" s="204" t="s">
        <v>81</v>
      </c>
      <c r="C10" s="205"/>
      <c r="D10" s="205"/>
      <c r="E10" s="205"/>
      <c r="F10" s="65">
        <v>50</v>
      </c>
      <c r="G10" s="66">
        <v>50</v>
      </c>
      <c r="H10" s="66">
        <v>35</v>
      </c>
      <c r="I10" s="66">
        <v>35</v>
      </c>
      <c r="J10" s="66">
        <v>35</v>
      </c>
      <c r="K10" s="66">
        <v>50</v>
      </c>
      <c r="L10" s="66">
        <v>35</v>
      </c>
      <c r="M10" s="66"/>
      <c r="N10" s="66"/>
      <c r="O10" s="66"/>
      <c r="P10" s="67">
        <f>IF(COUNT($F10:$O10)=0,"",SUM($F10:$O10))</f>
        <v>290</v>
      </c>
      <c r="Q10" s="68">
        <v>100</v>
      </c>
      <c r="R10" s="69">
        <v>0.6</v>
      </c>
      <c r="S10" s="65">
        <v>20</v>
      </c>
      <c r="T10" s="66">
        <v>20</v>
      </c>
      <c r="U10" s="66">
        <v>20</v>
      </c>
      <c r="V10" s="66">
        <v>20</v>
      </c>
      <c r="W10" s="66">
        <v>20</v>
      </c>
      <c r="X10" s="66">
        <v>20</v>
      </c>
      <c r="Y10" s="66">
        <v>20</v>
      </c>
      <c r="Z10" s="66">
        <v>20</v>
      </c>
      <c r="AA10" s="66">
        <v>20</v>
      </c>
      <c r="AB10" s="66">
        <v>20</v>
      </c>
      <c r="AC10" s="67">
        <f>IF(COUNT($S10:$AB10)=0,"",SUM($S10:$AB10))</f>
        <v>200</v>
      </c>
      <c r="AD10" s="68">
        <v>100</v>
      </c>
      <c r="AE10" s="69">
        <v>0.4</v>
      </c>
      <c r="AF10" s="70">
        <v>100</v>
      </c>
      <c r="AG10" s="68">
        <v>100</v>
      </c>
      <c r="AH10" s="71">
        <v>0.2</v>
      </c>
      <c r="AI10" s="218"/>
      <c r="AJ10" s="220"/>
      <c r="AN10" s="39"/>
      <c r="AO10" s="39"/>
      <c r="AP10" s="39"/>
      <c r="AQ10" s="39"/>
      <c r="AR10" s="39"/>
      <c r="AS10" s="39"/>
      <c r="AT10" s="39"/>
      <c r="AU10" s="39"/>
      <c r="AV10" s="39"/>
      <c r="AW10" s="39"/>
      <c r="AX10" s="39"/>
      <c r="AY10" s="39"/>
      <c r="AZ10" s="39"/>
      <c r="BA10" s="39"/>
      <c r="BB10" s="39"/>
      <c r="BC10" s="39"/>
      <c r="BD10" s="39"/>
      <c r="BE10" s="39"/>
      <c r="BF10" s="39"/>
    </row>
    <row r="11" spans="1:58" s="72" customFormat="1" ht="18" customHeight="1" thickBot="1">
      <c r="A11" s="73"/>
      <c r="B11" s="194" t="s">
        <v>82</v>
      </c>
      <c r="C11" s="195"/>
      <c r="D11" s="195"/>
      <c r="E11" s="195"/>
      <c r="F11" s="74"/>
      <c r="G11" s="75"/>
      <c r="H11" s="75"/>
      <c r="I11" s="75"/>
      <c r="J11" s="75"/>
      <c r="K11" s="75"/>
      <c r="L11" s="75"/>
      <c r="M11" s="75"/>
      <c r="N11" s="75"/>
      <c r="O11" s="75"/>
      <c r="P11" s="76"/>
      <c r="Q11" s="77"/>
      <c r="R11" s="78"/>
      <c r="S11" s="74"/>
      <c r="T11" s="75"/>
      <c r="U11" s="75"/>
      <c r="V11" s="75"/>
      <c r="W11" s="75"/>
      <c r="X11" s="75"/>
      <c r="Y11" s="75"/>
      <c r="Z11" s="75"/>
      <c r="AA11" s="75"/>
      <c r="AB11" s="75"/>
      <c r="AC11" s="76"/>
      <c r="AD11" s="77"/>
      <c r="AE11" s="78"/>
      <c r="AF11" s="74"/>
      <c r="AG11" s="77"/>
      <c r="AH11" s="79"/>
      <c r="AI11" s="80"/>
      <c r="AJ11" s="81"/>
      <c r="AN11" s="39"/>
      <c r="AO11" s="39"/>
      <c r="AP11" s="39"/>
      <c r="AQ11" s="39"/>
      <c r="AR11" s="39"/>
      <c r="AS11" s="39"/>
      <c r="AT11" s="39"/>
      <c r="AU11" s="39"/>
      <c r="AV11" s="39"/>
      <c r="AW11" s="39"/>
      <c r="AX11" s="39"/>
      <c r="AY11" s="39"/>
      <c r="AZ11" s="39"/>
      <c r="BA11" s="39"/>
      <c r="BB11" s="39"/>
      <c r="BC11" s="39"/>
      <c r="BD11" s="39"/>
      <c r="BE11" s="39"/>
      <c r="BF11" s="39"/>
    </row>
    <row r="12" spans="1:58" ht="18" customHeight="1">
      <c r="A12" s="82">
        <v>1</v>
      </c>
      <c r="B12" s="83" t="s">
        <v>83</v>
      </c>
      <c r="C12" s="84"/>
      <c r="D12" s="84"/>
      <c r="E12" s="85"/>
      <c r="F12" s="86">
        <v>40</v>
      </c>
      <c r="G12" s="87">
        <v>39</v>
      </c>
      <c r="H12" s="88">
        <v>20</v>
      </c>
      <c r="I12" s="87">
        <v>12</v>
      </c>
      <c r="J12" s="87">
        <v>33</v>
      </c>
      <c r="K12" s="87">
        <v>50</v>
      </c>
      <c r="L12" s="87">
        <v>29</v>
      </c>
      <c r="M12" s="87"/>
      <c r="N12" s="87"/>
      <c r="O12" s="87"/>
      <c r="P12" s="89">
        <f>IF(COUNT($F12:$O12)=0,"",SUM($F12:$O12))</f>
        <v>223</v>
      </c>
      <c r="Q12" s="90">
        <f>IF(ISERROR(IF($P12="","",ROUND(($P12/$P$10)*$Q$10,2))),"",IF($P12="","",ROUND(($P12/$P$10)*$Q$10,2)))</f>
        <v>76.900000000000006</v>
      </c>
      <c r="R12" s="91">
        <f>IF($Q12="","",ROUND($Q12*$R$10,2))</f>
        <v>46.14</v>
      </c>
      <c r="S12" s="92">
        <f>VLOOKUP(B12,'ET-1B'!D1:E20,2,FALSE)</f>
        <v>18</v>
      </c>
      <c r="T12" s="93">
        <f>VLOOKUP(B12,'ET-1B'!D1:F20,3,FALSE)</f>
        <v>18</v>
      </c>
      <c r="U12" s="93">
        <f>VLOOKUP(B12,'ET-1B'!D1:G20,4,FALSE)</f>
        <v>18</v>
      </c>
      <c r="V12" s="94">
        <f>VLOOKUP(B12,'ET-1B'!D1:I20,6,FALSE)</f>
        <v>18</v>
      </c>
      <c r="W12" s="93">
        <f>VLOOKUP(B12,'ET-1B'!D1:J20,7,FALSE)</f>
        <v>13</v>
      </c>
      <c r="X12" s="93">
        <f>VLOOKUP(B12,'ET-1B'!D1:K20,8,FALSE)</f>
        <v>18</v>
      </c>
      <c r="Y12" s="93">
        <f>VLOOKUP(B12,'ET-1B'!D1:L20,9,FALSE)</f>
        <v>18</v>
      </c>
      <c r="Z12" s="93">
        <f>VLOOKUP(B12,'ET-1B'!D1:M20,10,FALSE)</f>
        <v>20</v>
      </c>
      <c r="AA12" s="93">
        <f>VLOOKUP(B12,'ET-1B'!D1:O20,12,FALSE)</f>
        <v>0</v>
      </c>
      <c r="AB12" s="93">
        <f>VLOOKUP(B12,'ET-1B'!D1:P20,13,FALSE)</f>
        <v>18</v>
      </c>
      <c r="AC12" s="89">
        <f>IF(COUNT($S12:$AB12)=0,"",SUM($S12:$AB12))</f>
        <v>159</v>
      </c>
      <c r="AD12" s="90">
        <f>IF(ISERROR(IF($AC12="","",ROUND(($AC12/$AC$10)*$AD$10,2))),"",IF($AC12="","",ROUND(($AC12/$AC$10)*$AD$10,2)))</f>
        <v>79.5</v>
      </c>
      <c r="AE12" s="91">
        <f>IF($AD12="","",ROUND($AD12*$AE$10,2))</f>
        <v>31.8</v>
      </c>
      <c r="AF12" s="95">
        <v>77</v>
      </c>
      <c r="AG12" s="90">
        <f>IF(ISERROR(IF($AF12="","",ROUND(($AF12/$AF$10)*$AG$10,2))),"",IF($AF12="","",ROUND(($AF12/$AF$10)*$AG$10,2)))</f>
        <v>77</v>
      </c>
      <c r="AH12" s="96">
        <f>IF($AG12="","",ROUND($AG12*$AH$10,2))</f>
        <v>15.4</v>
      </c>
      <c r="AI12" s="97">
        <f>IF(ISERROR(IF($AF12="","",ROUND(SUM($R12,$AE12,$AH12),2))),"",IF($AF12="","",ROUND(SUM($R12,$AE12,$AH12),2)))</f>
        <v>93.34</v>
      </c>
      <c r="AJ12" s="98">
        <f t="shared" ref="AJ12:AJ34" si="0">IF(ISERROR(IF($AF12="","",VLOOKUP(AI12,TRANSMUTATION_TABLE,4,TRUE))),"",IF($AF12="","",VLOOKUP(AI12,TRANSMUTATION_TABLE,4,TRUE)))</f>
        <v>95</v>
      </c>
      <c r="AL12" s="40"/>
      <c r="AN12" s="197"/>
      <c r="AO12" s="197"/>
      <c r="AP12" s="197"/>
      <c r="AQ12" s="197"/>
      <c r="AR12" s="197"/>
      <c r="AS12" s="197"/>
      <c r="AT12" s="197"/>
      <c r="AU12" s="197"/>
      <c r="AV12" s="197"/>
      <c r="AW12" s="197"/>
      <c r="AX12" s="197"/>
      <c r="AY12" s="197"/>
      <c r="AZ12" s="197"/>
      <c r="BA12" s="197"/>
      <c r="BB12" s="197"/>
      <c r="BC12" s="197"/>
      <c r="BD12" s="197"/>
      <c r="BE12" s="197"/>
      <c r="BF12" s="197"/>
    </row>
    <row r="13" spans="1:58" ht="18" customHeight="1">
      <c r="A13" s="99">
        <v>2</v>
      </c>
      <c r="B13" s="100" t="s">
        <v>84</v>
      </c>
      <c r="C13" s="101"/>
      <c r="D13" s="101"/>
      <c r="E13" s="102"/>
      <c r="F13" s="103">
        <v>34</v>
      </c>
      <c r="G13" s="87">
        <v>40</v>
      </c>
      <c r="H13" s="88">
        <v>29</v>
      </c>
      <c r="I13" s="88">
        <v>12</v>
      </c>
      <c r="J13" s="88">
        <v>34</v>
      </c>
      <c r="K13" s="88">
        <v>35</v>
      </c>
      <c r="L13" s="88">
        <v>30</v>
      </c>
      <c r="M13" s="88"/>
      <c r="N13" s="88"/>
      <c r="O13" s="88"/>
      <c r="P13" s="89">
        <f t="shared" ref="P13:P34" si="1">IF(COUNT($F13:$O13)=0,"",SUM($F13:$O13))</f>
        <v>214</v>
      </c>
      <c r="Q13" s="90">
        <f t="shared" ref="Q13:Q34" si="2">IF(ISERROR(IF($P13="","",ROUND(($P13/$P$10)*$Q$10,2))),"",IF($P13="","",ROUND(($P13/$P$10)*$Q$10,2)))</f>
        <v>73.790000000000006</v>
      </c>
      <c r="R13" s="91">
        <f t="shared" ref="R13:R34" si="3">IF($Q13="","",ROUND($Q13*$R$10,2))</f>
        <v>44.27</v>
      </c>
      <c r="S13" s="92">
        <f>VLOOKUP(B13,'ET-1B'!D2:E21,2,FALSE)</f>
        <v>18</v>
      </c>
      <c r="T13" s="93">
        <f>VLOOKUP(B13,'ET-1B'!D2:F21,3,FALSE)</f>
        <v>18</v>
      </c>
      <c r="U13" s="93">
        <f>VLOOKUP(B13,'ET-1B'!D2:G21,4,FALSE)</f>
        <v>18</v>
      </c>
      <c r="V13" s="94">
        <f>VLOOKUP(B13,'ET-1B'!D2:I21,6,FALSE)</f>
        <v>20</v>
      </c>
      <c r="W13" s="93">
        <f>VLOOKUP(B13,'ET-1B'!D2:J21,7,FALSE)</f>
        <v>20</v>
      </c>
      <c r="X13" s="93">
        <f>VLOOKUP(B13,'ET-1B'!D2:K21,8,FALSE)</f>
        <v>18</v>
      </c>
      <c r="Y13" s="93">
        <f>VLOOKUP(B13,'ET-1B'!D2:L21,9,FALSE)</f>
        <v>20</v>
      </c>
      <c r="Z13" s="93">
        <f>VLOOKUP(B13,'ET-1B'!D2:M21,10,FALSE)</f>
        <v>20</v>
      </c>
      <c r="AA13" s="93">
        <f>VLOOKUP(B13,'ET-1B'!D2:O21,12,FALSE)</f>
        <v>18</v>
      </c>
      <c r="AB13" s="93">
        <f>VLOOKUP(B13,'ET-1B'!D2:P21,13,FALSE)</f>
        <v>20</v>
      </c>
      <c r="AC13" s="89">
        <f>IF(COUNT($S13:$AB13)=0,"",SUM($S13:$AB13))</f>
        <v>190</v>
      </c>
      <c r="AD13" s="90">
        <f>IF(ISERROR(IF($AC13="","",ROUND(($AC13/$AC$10)*$AD$10,2))),"",IF($AC13="","",ROUND(($AC13/$AC$10)*$AD$10,2)))</f>
        <v>95</v>
      </c>
      <c r="AE13" s="91">
        <f>IF($AD13="","",ROUND($AD13*$AE$10,2))</f>
        <v>38</v>
      </c>
      <c r="AF13" s="95">
        <v>78</v>
      </c>
      <c r="AG13" s="90">
        <f>IF(ISERROR(IF($AF13="","",ROUND(($AF13/$AF$10)*$AG$10,2))),"",IF($AF13="","",ROUND(($AF13/$AF$10)*$AG$10,2)))</f>
        <v>78</v>
      </c>
      <c r="AH13" s="96">
        <f>IF($AG13="","",ROUND($AG13*$AH$10,2))</f>
        <v>15.6</v>
      </c>
      <c r="AI13" s="97">
        <f t="shared" ref="AI13:AI34" si="4">IF(ISERROR(IF($AF13="","",ROUND(SUM($R13,$AE13,$AH13),2))),"",IF($AF13="","",ROUND(SUM($R13,$AE13,$AH13),2)))</f>
        <v>97.87</v>
      </c>
      <c r="AJ13" s="98">
        <f t="shared" si="0"/>
        <v>98</v>
      </c>
      <c r="AL13" s="40"/>
      <c r="AN13" s="197"/>
      <c r="AO13" s="197"/>
      <c r="AP13" s="197"/>
      <c r="AQ13" s="197"/>
      <c r="AR13" s="197"/>
      <c r="AS13" s="197"/>
      <c r="AT13" s="197"/>
      <c r="AU13" s="197"/>
      <c r="AV13" s="197"/>
      <c r="AW13" s="197"/>
      <c r="AX13" s="197"/>
      <c r="AY13" s="197"/>
      <c r="AZ13" s="197"/>
      <c r="BA13" s="197"/>
      <c r="BB13" s="197"/>
      <c r="BC13" s="197"/>
      <c r="BD13" s="197"/>
      <c r="BE13" s="197"/>
      <c r="BF13" s="197"/>
    </row>
    <row r="14" spans="1:58" ht="18" customHeight="1">
      <c r="A14" s="99">
        <v>3</v>
      </c>
      <c r="B14" s="100" t="s">
        <v>85</v>
      </c>
      <c r="C14" s="101"/>
      <c r="D14" s="101"/>
      <c r="E14" s="102"/>
      <c r="F14" s="103">
        <v>35</v>
      </c>
      <c r="G14" s="87">
        <v>41</v>
      </c>
      <c r="H14" s="88">
        <v>29</v>
      </c>
      <c r="I14" s="66">
        <v>29</v>
      </c>
      <c r="J14" s="88">
        <v>20</v>
      </c>
      <c r="K14" s="88">
        <v>36</v>
      </c>
      <c r="L14" s="88">
        <v>35</v>
      </c>
      <c r="M14" s="88"/>
      <c r="N14" s="88"/>
      <c r="O14" s="88"/>
      <c r="P14" s="89">
        <f t="shared" si="1"/>
        <v>225</v>
      </c>
      <c r="Q14" s="90">
        <f t="shared" si="2"/>
        <v>77.59</v>
      </c>
      <c r="R14" s="91">
        <f t="shared" si="3"/>
        <v>46.55</v>
      </c>
      <c r="S14" s="92" t="e">
        <f>VLOOKUP(B14,'ET-1B'!D3:E22,2,FALSE)</f>
        <v>#N/A</v>
      </c>
      <c r="T14" s="93" t="e">
        <f>VLOOKUP(B14,'ET-1B'!D3:F22,3,FALSE)</f>
        <v>#N/A</v>
      </c>
      <c r="U14" s="93" t="e">
        <f>VLOOKUP(B14,'ET-1B'!D3:G22,4,FALSE)</f>
        <v>#N/A</v>
      </c>
      <c r="V14" s="94" t="e">
        <f>VLOOKUP(B14,'ET-1B'!D3:I22,6,FALSE)</f>
        <v>#N/A</v>
      </c>
      <c r="W14" s="93" t="e">
        <f>VLOOKUP(B14,'ET-1B'!D3:J22,7,FALSE)</f>
        <v>#N/A</v>
      </c>
      <c r="X14" s="93" t="e">
        <f>VLOOKUP(B14,'ET-1B'!D3:K22,8,FALSE)</f>
        <v>#N/A</v>
      </c>
      <c r="Y14" s="93" t="e">
        <f>VLOOKUP(B14,'ET-1B'!D3:L22,9,FALSE)</f>
        <v>#N/A</v>
      </c>
      <c r="Z14" s="93" t="e">
        <f>VLOOKUP(B14,'ET-1B'!D3:M22,10,FALSE)</f>
        <v>#N/A</v>
      </c>
      <c r="AA14" s="93" t="e">
        <f>VLOOKUP(B14,'ET-1B'!D3:O22,12,FALSE)</f>
        <v>#N/A</v>
      </c>
      <c r="AB14" s="93" t="e">
        <f>VLOOKUP(B14,'ET-1B'!D3:P22,13,FALSE)</f>
        <v>#N/A</v>
      </c>
      <c r="AC14" s="89" t="str">
        <f>IF(COUNT($S14:$AB14)=0,"",SUM($S14:$AB14))</f>
        <v/>
      </c>
      <c r="AD14" s="90" t="str">
        <f>IF(ISERROR(IF($AC14="","",ROUND(($AC14/$AC$10)*$AD$10,2))),"",IF($AC14="","",ROUND(($AC14/$AC$10)*$AD$10,2)))</f>
        <v/>
      </c>
      <c r="AE14" s="91" t="str">
        <f>IF($AD14="","",ROUND($AD14*$AE$10,2))</f>
        <v/>
      </c>
      <c r="AF14" s="95">
        <v>79</v>
      </c>
      <c r="AG14" s="90">
        <f>IF(ISERROR(IF($AF14="","",ROUND(($AF14/$AF$10)*$AG$10,2))),"",IF($AF14="","",ROUND(($AF14/$AF$10)*$AG$10,2)))</f>
        <v>79</v>
      </c>
      <c r="AH14" s="96">
        <f>IF($AG14="","",ROUND($AG14*$AH$10,2))</f>
        <v>15.8</v>
      </c>
      <c r="AI14" s="97">
        <f t="shared" si="4"/>
        <v>62.35</v>
      </c>
      <c r="AJ14" s="98">
        <f t="shared" si="0"/>
        <v>76</v>
      </c>
      <c r="AL14" s="40"/>
      <c r="AN14" s="197"/>
      <c r="AO14" s="197"/>
      <c r="AP14" s="197"/>
      <c r="AQ14" s="197"/>
      <c r="AR14" s="197"/>
      <c r="AS14" s="197"/>
      <c r="AT14" s="197"/>
      <c r="AU14" s="197"/>
      <c r="AV14" s="197"/>
      <c r="AW14" s="197"/>
      <c r="AX14" s="197"/>
      <c r="AY14" s="197"/>
      <c r="AZ14" s="197"/>
      <c r="BA14" s="197"/>
      <c r="BB14" s="197"/>
      <c r="BC14" s="197"/>
      <c r="BD14" s="197"/>
      <c r="BE14" s="197"/>
      <c r="BF14" s="197"/>
    </row>
    <row r="15" spans="1:58" ht="18" customHeight="1">
      <c r="A15" s="99">
        <v>4</v>
      </c>
      <c r="B15" s="100" t="s">
        <v>86</v>
      </c>
      <c r="C15" s="101"/>
      <c r="D15" s="101"/>
      <c r="E15" s="102"/>
      <c r="F15" s="103">
        <v>36</v>
      </c>
      <c r="G15" s="87">
        <v>42</v>
      </c>
      <c r="H15" s="88">
        <v>23</v>
      </c>
      <c r="I15" s="66">
        <v>13</v>
      </c>
      <c r="J15" s="88">
        <v>35</v>
      </c>
      <c r="K15" s="88">
        <v>37</v>
      </c>
      <c r="L15" s="88">
        <v>35</v>
      </c>
      <c r="M15" s="88"/>
      <c r="N15" s="88"/>
      <c r="O15" s="88"/>
      <c r="P15" s="89">
        <f t="shared" si="1"/>
        <v>221</v>
      </c>
      <c r="Q15" s="90">
        <f t="shared" si="2"/>
        <v>76.209999999999994</v>
      </c>
      <c r="R15" s="91">
        <f t="shared" si="3"/>
        <v>45.73</v>
      </c>
      <c r="S15" s="92">
        <f>VLOOKUP(B15,'ET-1B'!D4:E23,2,FALSE)</f>
        <v>18</v>
      </c>
      <c r="T15" s="93">
        <f>VLOOKUP(B15,'ET-1B'!D4:F23,3,FALSE)</f>
        <v>18</v>
      </c>
      <c r="U15" s="93">
        <f>VLOOKUP(B15,'ET-1B'!D4:G23,4,FALSE)</f>
        <v>18</v>
      </c>
      <c r="V15" s="94">
        <f>VLOOKUP(B15,'ET-1B'!D4:I23,6,FALSE)</f>
        <v>20</v>
      </c>
      <c r="W15" s="93">
        <f>VLOOKUP(B15,'ET-1B'!D4:J23,7,FALSE)</f>
        <v>20</v>
      </c>
      <c r="X15" s="93">
        <f>VLOOKUP(B15,'ET-1B'!D4:K23,8,FALSE)</f>
        <v>18</v>
      </c>
      <c r="Y15" s="93">
        <f>VLOOKUP(B15,'ET-1B'!D4:L23,9,FALSE)</f>
        <v>20</v>
      </c>
      <c r="Z15" s="93">
        <f>VLOOKUP(B15,'ET-1B'!D4:M23,10,FALSE)</f>
        <v>20</v>
      </c>
      <c r="AA15" s="93">
        <f>VLOOKUP(B15,'ET-1B'!D4:O23,12,FALSE)</f>
        <v>18</v>
      </c>
      <c r="AB15" s="93">
        <f>VLOOKUP(B15,'ET-1B'!D4:P23,13,FALSE)</f>
        <v>20</v>
      </c>
      <c r="AC15" s="89">
        <f>IF(COUNT($S15:$AB15)=0,"",SUM($S15:$AB15))</f>
        <v>190</v>
      </c>
      <c r="AD15" s="90">
        <f>IF(ISERROR(IF($AC15="","",ROUND(($AC15/$AC$10)*$AD$10,2))),"",IF($AC15="","",ROUND(($AC15/$AC$10)*$AD$10,2)))</f>
        <v>95</v>
      </c>
      <c r="AE15" s="91">
        <f>IF($AD15="","",ROUND($AD15*$AE$10,2))</f>
        <v>38</v>
      </c>
      <c r="AF15" s="95">
        <v>80</v>
      </c>
      <c r="AG15" s="90">
        <f>IF(ISERROR(IF($AF15="","",ROUND(($AF15/$AF$10)*$AG$10,2))),"",IF($AF15="","",ROUND(($AF15/$AF$10)*$AG$10,2)))</f>
        <v>80</v>
      </c>
      <c r="AH15" s="96">
        <f>IF($AG15="","",ROUND($AG15*$AH$10,2))</f>
        <v>16</v>
      </c>
      <c r="AI15" s="97">
        <f t="shared" si="4"/>
        <v>99.73</v>
      </c>
      <c r="AJ15" s="98">
        <f t="shared" si="0"/>
        <v>99</v>
      </c>
      <c r="AL15" s="40"/>
      <c r="AN15" s="72"/>
      <c r="AO15" s="72"/>
      <c r="AP15" s="72"/>
      <c r="AQ15" s="72"/>
      <c r="AR15" s="72"/>
      <c r="AS15" s="72"/>
      <c r="AT15" s="72"/>
      <c r="AU15" s="72"/>
      <c r="AV15" s="72"/>
      <c r="AW15" s="72"/>
      <c r="AX15" s="72"/>
      <c r="AY15" s="72"/>
      <c r="AZ15" s="72"/>
      <c r="BA15" s="72"/>
      <c r="BB15" s="72"/>
      <c r="BC15" s="72"/>
      <c r="BD15" s="72"/>
      <c r="BE15" s="72"/>
      <c r="BF15" s="72"/>
    </row>
    <row r="16" spans="1:58" ht="18" customHeight="1">
      <c r="A16" s="99">
        <v>5</v>
      </c>
      <c r="B16" s="100" t="s">
        <v>87</v>
      </c>
      <c r="C16" s="101"/>
      <c r="D16" s="101"/>
      <c r="E16" s="102"/>
      <c r="F16" s="103">
        <v>37</v>
      </c>
      <c r="G16" s="87">
        <v>43</v>
      </c>
      <c r="H16" s="88">
        <v>24</v>
      </c>
      <c r="I16" s="66">
        <v>18</v>
      </c>
      <c r="J16" s="88">
        <v>29</v>
      </c>
      <c r="K16" s="88">
        <v>38</v>
      </c>
      <c r="L16" s="88">
        <v>35</v>
      </c>
      <c r="M16" s="88"/>
      <c r="N16" s="88"/>
      <c r="O16" s="88"/>
      <c r="P16" s="89">
        <f t="shared" si="1"/>
        <v>224</v>
      </c>
      <c r="Q16" s="90">
        <f t="shared" si="2"/>
        <v>77.239999999999995</v>
      </c>
      <c r="R16" s="91">
        <f t="shared" si="3"/>
        <v>46.34</v>
      </c>
      <c r="S16" s="92">
        <f>VLOOKUP(B16,'ET-1B'!D5:E24,2,FALSE)</f>
        <v>18</v>
      </c>
      <c r="T16" s="93">
        <f>VLOOKUP(B16,'ET-1B'!D5:F24,3,FALSE)</f>
        <v>18</v>
      </c>
      <c r="U16" s="93">
        <f>VLOOKUP(B16,'ET-1B'!D5:G24,4,FALSE)</f>
        <v>18</v>
      </c>
      <c r="V16" s="94">
        <f>VLOOKUP(B16,'ET-1B'!D5:I24,6,FALSE)</f>
        <v>20</v>
      </c>
      <c r="W16" s="93">
        <f>VLOOKUP(B16,'ET-1B'!D5:J24,7,FALSE)</f>
        <v>15</v>
      </c>
      <c r="X16" s="93">
        <f>VLOOKUP(B16,'ET-1B'!D5:K24,8,FALSE)</f>
        <v>18</v>
      </c>
      <c r="Y16" s="93">
        <f>VLOOKUP(B16,'ET-1B'!D5:L24,9,FALSE)</f>
        <v>20</v>
      </c>
      <c r="Z16" s="93">
        <f>VLOOKUP(B16,'ET-1B'!D5:M24,10,FALSE)</f>
        <v>20</v>
      </c>
      <c r="AA16" s="93">
        <f>VLOOKUP(B16,'ET-1B'!D5:O24,12,FALSE)</f>
        <v>18</v>
      </c>
      <c r="AB16" s="93">
        <f>VLOOKUP(B16,'ET-1B'!D5:P24,13,FALSE)</f>
        <v>20</v>
      </c>
      <c r="AC16" s="105">
        <f t="shared" ref="AC16:AC80" si="5">IF(COUNT($S16:$AB16)=0,"",SUM($S16:$AB16))</f>
        <v>185</v>
      </c>
      <c r="AD16" s="90">
        <f>IF(ISERROR(IF($AC16="","",ROUND(($AC16/$AC$10)*$AD$10,2))),"",IF($AC16="","",ROUND(($AC16/$AC$10)*$AD$10,2)))</f>
        <v>92.5</v>
      </c>
      <c r="AE16" s="106">
        <f t="shared" ref="AE16:AE80" si="6">IF($AD16="","",ROUND($AD16*$AE$10,2))</f>
        <v>37</v>
      </c>
      <c r="AF16" s="95">
        <v>81</v>
      </c>
      <c r="AG16" s="107">
        <f t="shared" ref="AG16:AG80" si="7">IF(ISERROR(IF($AF16="","",ROUND(($AF16/$AF$10)*$AG$10,2))),"",IF($AF16="","",ROUND(($AF16/$AF$10)*$AG$10,2)))</f>
        <v>81</v>
      </c>
      <c r="AH16" s="108">
        <f t="shared" ref="AH16:AH80" si="8">IF($AG16="","",ROUND($AG16*$AH$10,2))</f>
        <v>16.2</v>
      </c>
      <c r="AI16" s="97">
        <f t="shared" si="4"/>
        <v>99.54</v>
      </c>
      <c r="AJ16" s="98">
        <f t="shared" si="0"/>
        <v>99</v>
      </c>
      <c r="AL16" s="40"/>
      <c r="AN16" s="197"/>
      <c r="AO16" s="197"/>
      <c r="AP16" s="197"/>
      <c r="AQ16" s="197"/>
      <c r="AR16" s="197"/>
      <c r="AS16" s="197"/>
      <c r="AT16" s="197"/>
      <c r="AU16" s="197"/>
      <c r="AV16" s="197"/>
      <c r="AW16" s="197"/>
      <c r="AX16" s="197"/>
      <c r="AY16" s="197"/>
      <c r="AZ16" s="197"/>
      <c r="BA16" s="197"/>
      <c r="BB16" s="197"/>
      <c r="BC16" s="197"/>
      <c r="BD16" s="197"/>
      <c r="BE16" s="197"/>
      <c r="BF16" s="197"/>
    </row>
    <row r="17" spans="1:58" ht="18" customHeight="1">
      <c r="A17" s="99">
        <v>6</v>
      </c>
      <c r="B17" s="100" t="s">
        <v>88</v>
      </c>
      <c r="C17" s="101"/>
      <c r="D17" s="101"/>
      <c r="E17" s="102"/>
      <c r="F17" s="103">
        <v>38</v>
      </c>
      <c r="G17" s="87">
        <v>44</v>
      </c>
      <c r="H17" s="88">
        <v>25</v>
      </c>
      <c r="I17" s="66">
        <v>17</v>
      </c>
      <c r="J17" s="88">
        <v>28</v>
      </c>
      <c r="K17" s="88">
        <v>39</v>
      </c>
      <c r="L17" s="88">
        <v>35</v>
      </c>
      <c r="M17" s="88"/>
      <c r="N17" s="88"/>
      <c r="O17" s="88"/>
      <c r="P17" s="89">
        <f t="shared" si="1"/>
        <v>226</v>
      </c>
      <c r="Q17" s="90">
        <f t="shared" si="2"/>
        <v>77.930000000000007</v>
      </c>
      <c r="R17" s="91">
        <f t="shared" si="3"/>
        <v>46.76</v>
      </c>
      <c r="S17" s="92" t="e">
        <f>VLOOKUP(B17,'ET-1B'!D6:E25,2,FALSE)</f>
        <v>#N/A</v>
      </c>
      <c r="T17" s="93" t="e">
        <f>VLOOKUP(B17,'ET-1B'!D6:F25,3,FALSE)</f>
        <v>#N/A</v>
      </c>
      <c r="U17" s="93" t="e">
        <f>VLOOKUP(B17,'ET-1B'!D6:G25,4,FALSE)</f>
        <v>#N/A</v>
      </c>
      <c r="V17" s="94" t="e">
        <f>VLOOKUP(B17,'ET-1B'!D6:I25,6,FALSE)</f>
        <v>#N/A</v>
      </c>
      <c r="W17" s="93" t="e">
        <f>VLOOKUP(B17,'ET-1B'!D6:J25,7,FALSE)</f>
        <v>#N/A</v>
      </c>
      <c r="X17" s="93" t="e">
        <f>VLOOKUP(B17,'ET-1B'!D6:K25,8,FALSE)</f>
        <v>#N/A</v>
      </c>
      <c r="Y17" s="93" t="e">
        <f>VLOOKUP(B17,'ET-1B'!D6:L25,9,FALSE)</f>
        <v>#N/A</v>
      </c>
      <c r="Z17" s="93" t="e">
        <f>VLOOKUP(B17,'ET-1B'!D6:M25,10,FALSE)</f>
        <v>#N/A</v>
      </c>
      <c r="AA17" s="93" t="e">
        <f>VLOOKUP(B17,'ET-1B'!D6:O25,12,FALSE)</f>
        <v>#N/A</v>
      </c>
      <c r="AB17" s="93" t="e">
        <f>VLOOKUP(B17,'ET-1B'!D6:P25,13,FALSE)</f>
        <v>#N/A</v>
      </c>
      <c r="AC17" s="105" t="str">
        <f t="shared" si="5"/>
        <v/>
      </c>
      <c r="AD17" s="107" t="str">
        <f t="shared" ref="AD17:AD80" si="9">IF(ISERROR(IF($AC17="","",ROUND(($AC17/$AC$10)*$AD$10,2))),"",IF($AC17="","",ROUND(($AC17/$AC$10)*$AD$10,2)))</f>
        <v/>
      </c>
      <c r="AE17" s="106" t="str">
        <f t="shared" si="6"/>
        <v/>
      </c>
      <c r="AF17" s="95">
        <v>82</v>
      </c>
      <c r="AG17" s="107">
        <f t="shared" si="7"/>
        <v>82</v>
      </c>
      <c r="AH17" s="108">
        <f t="shared" si="8"/>
        <v>16.399999999999999</v>
      </c>
      <c r="AI17" s="97">
        <f t="shared" si="4"/>
        <v>63.16</v>
      </c>
      <c r="AJ17" s="98">
        <f t="shared" si="0"/>
        <v>76</v>
      </c>
      <c r="AL17" s="40"/>
      <c r="AN17" s="197"/>
      <c r="AO17" s="197"/>
      <c r="AP17" s="197"/>
      <c r="AQ17" s="197"/>
      <c r="AR17" s="197"/>
      <c r="AS17" s="197"/>
      <c r="AT17" s="197"/>
      <c r="AU17" s="197"/>
      <c r="AV17" s="197"/>
      <c r="AW17" s="197"/>
      <c r="AX17" s="197"/>
      <c r="AY17" s="197"/>
      <c r="AZ17" s="197"/>
      <c r="BA17" s="197"/>
      <c r="BB17" s="197"/>
      <c r="BC17" s="197"/>
      <c r="BD17" s="197"/>
      <c r="BE17" s="197"/>
      <c r="BF17" s="197"/>
    </row>
    <row r="18" spans="1:58" ht="18" customHeight="1">
      <c r="A18" s="99">
        <v>7</v>
      </c>
      <c r="B18" s="100" t="s">
        <v>89</v>
      </c>
      <c r="C18" s="101"/>
      <c r="D18" s="101"/>
      <c r="E18" s="102"/>
      <c r="F18" s="103">
        <v>39</v>
      </c>
      <c r="G18" s="87">
        <v>45</v>
      </c>
      <c r="H18" s="88">
        <v>26</v>
      </c>
      <c r="I18" s="66">
        <v>16</v>
      </c>
      <c r="J18" s="88">
        <v>27</v>
      </c>
      <c r="K18" s="88">
        <v>40</v>
      </c>
      <c r="L18" s="88">
        <v>35</v>
      </c>
      <c r="M18" s="88"/>
      <c r="N18" s="88"/>
      <c r="O18" s="88"/>
      <c r="P18" s="89">
        <f t="shared" si="1"/>
        <v>228</v>
      </c>
      <c r="Q18" s="90">
        <f t="shared" si="2"/>
        <v>78.62</v>
      </c>
      <c r="R18" s="91">
        <f t="shared" si="3"/>
        <v>47.17</v>
      </c>
      <c r="S18" s="92" t="e">
        <f>VLOOKUP(B18,'ET-1B'!D7:E26,2,FALSE)</f>
        <v>#N/A</v>
      </c>
      <c r="T18" s="93" t="e">
        <f>VLOOKUP(B18,'ET-1B'!D7:F26,3,FALSE)</f>
        <v>#N/A</v>
      </c>
      <c r="U18" s="93" t="e">
        <f>VLOOKUP(B18,'ET-1B'!D7:G26,4,FALSE)</f>
        <v>#N/A</v>
      </c>
      <c r="V18" s="94" t="e">
        <f>VLOOKUP(B18,'ET-1B'!D7:I26,6,FALSE)</f>
        <v>#N/A</v>
      </c>
      <c r="W18" s="93" t="e">
        <f>VLOOKUP(B18,'ET-1B'!D7:J26,7,FALSE)</f>
        <v>#N/A</v>
      </c>
      <c r="X18" s="93" t="e">
        <f>VLOOKUP(B18,'ET-1B'!D7:K26,8,FALSE)</f>
        <v>#N/A</v>
      </c>
      <c r="Y18" s="93" t="e">
        <f>VLOOKUP(B18,'ET-1B'!D7:L26,9,FALSE)</f>
        <v>#N/A</v>
      </c>
      <c r="Z18" s="93" t="e">
        <f>VLOOKUP(B18,'ET-1B'!D7:M26,10,FALSE)</f>
        <v>#N/A</v>
      </c>
      <c r="AA18" s="93" t="e">
        <f>VLOOKUP(B18,'ET-1B'!D7:O26,12,FALSE)</f>
        <v>#N/A</v>
      </c>
      <c r="AB18" s="93" t="e">
        <f>VLOOKUP(B18,'ET-1B'!D7:P26,13,FALSE)</f>
        <v>#N/A</v>
      </c>
      <c r="AC18" s="105" t="str">
        <f t="shared" si="5"/>
        <v/>
      </c>
      <c r="AD18" s="107" t="str">
        <f t="shared" si="9"/>
        <v/>
      </c>
      <c r="AE18" s="106" t="str">
        <f t="shared" si="6"/>
        <v/>
      </c>
      <c r="AF18" s="95">
        <v>83</v>
      </c>
      <c r="AG18" s="107">
        <f t="shared" si="7"/>
        <v>83</v>
      </c>
      <c r="AH18" s="108">
        <f t="shared" si="8"/>
        <v>16.600000000000001</v>
      </c>
      <c r="AI18" s="97">
        <f t="shared" si="4"/>
        <v>63.77</v>
      </c>
      <c r="AJ18" s="98">
        <f t="shared" si="0"/>
        <v>77</v>
      </c>
      <c r="AL18" s="40"/>
      <c r="AN18" s="197"/>
      <c r="AO18" s="197"/>
      <c r="AP18" s="197"/>
      <c r="AQ18" s="197"/>
      <c r="AR18" s="197"/>
      <c r="AS18" s="197"/>
      <c r="AT18" s="197"/>
      <c r="AU18" s="197"/>
      <c r="AV18" s="197"/>
      <c r="AW18" s="197"/>
      <c r="AX18" s="197"/>
      <c r="AY18" s="197"/>
      <c r="AZ18" s="197"/>
      <c r="BA18" s="197"/>
      <c r="BB18" s="197"/>
      <c r="BC18" s="197"/>
      <c r="BD18" s="197"/>
      <c r="BE18" s="197"/>
      <c r="BF18" s="197"/>
    </row>
    <row r="19" spans="1:58" ht="18" customHeight="1">
      <c r="A19" s="99">
        <v>8</v>
      </c>
      <c r="B19" s="100" t="s">
        <v>90</v>
      </c>
      <c r="C19" s="101"/>
      <c r="D19" s="101"/>
      <c r="E19" s="102"/>
      <c r="F19" s="103">
        <v>40</v>
      </c>
      <c r="G19" s="87">
        <v>46</v>
      </c>
      <c r="H19" s="88">
        <v>27</v>
      </c>
      <c r="I19" s="66">
        <v>13</v>
      </c>
      <c r="J19" s="88">
        <v>26</v>
      </c>
      <c r="K19" s="88">
        <v>41</v>
      </c>
      <c r="L19" s="88">
        <v>31</v>
      </c>
      <c r="M19" s="88"/>
      <c r="N19" s="88"/>
      <c r="O19" s="88"/>
      <c r="P19" s="89">
        <f t="shared" si="1"/>
        <v>224</v>
      </c>
      <c r="Q19" s="90">
        <f t="shared" si="2"/>
        <v>77.239999999999995</v>
      </c>
      <c r="R19" s="91">
        <f t="shared" si="3"/>
        <v>46.34</v>
      </c>
      <c r="S19" s="92">
        <f>VLOOKUP(B19,'ET-1B'!D8:E27,2,FALSE)</f>
        <v>18</v>
      </c>
      <c r="T19" s="93">
        <f>VLOOKUP(B19,'ET-1B'!D8:F27,3,FALSE)</f>
        <v>18</v>
      </c>
      <c r="U19" s="93">
        <f>VLOOKUP(B19,'ET-1B'!D8:G27,4,FALSE)</f>
        <v>18</v>
      </c>
      <c r="V19" s="94">
        <f>VLOOKUP(B19,'ET-1B'!D8:I27,6,FALSE)</f>
        <v>20</v>
      </c>
      <c r="W19" s="93">
        <f>VLOOKUP(B19,'ET-1B'!D8:J27,7,FALSE)</f>
        <v>20</v>
      </c>
      <c r="X19" s="93">
        <f>VLOOKUP(B19,'ET-1B'!D8:K27,8,FALSE)</f>
        <v>18</v>
      </c>
      <c r="Y19" s="93">
        <f>VLOOKUP(B19,'ET-1B'!D8:L27,9,FALSE)</f>
        <v>20</v>
      </c>
      <c r="Z19" s="93">
        <f>VLOOKUP(B19,'ET-1B'!D8:M27,10,FALSE)</f>
        <v>20</v>
      </c>
      <c r="AA19" s="93">
        <f>VLOOKUP(B19,'ET-1B'!D8:O27,12,FALSE)</f>
        <v>18</v>
      </c>
      <c r="AB19" s="93">
        <f>VLOOKUP(B19,'ET-1B'!D8:P27,13,FALSE)</f>
        <v>0</v>
      </c>
      <c r="AC19" s="105">
        <f t="shared" si="5"/>
        <v>170</v>
      </c>
      <c r="AD19" s="107">
        <f t="shared" si="9"/>
        <v>85</v>
      </c>
      <c r="AE19" s="106">
        <f t="shared" si="6"/>
        <v>34</v>
      </c>
      <c r="AF19" s="95">
        <v>84</v>
      </c>
      <c r="AG19" s="107">
        <f t="shared" si="7"/>
        <v>84</v>
      </c>
      <c r="AH19" s="108">
        <f t="shared" si="8"/>
        <v>16.8</v>
      </c>
      <c r="AI19" s="97">
        <f t="shared" si="4"/>
        <v>97.14</v>
      </c>
      <c r="AJ19" s="98">
        <f t="shared" si="0"/>
        <v>98</v>
      </c>
      <c r="AL19" s="40"/>
      <c r="AN19" s="197"/>
      <c r="AO19" s="197"/>
      <c r="AP19" s="197"/>
      <c r="AQ19" s="197"/>
      <c r="AR19" s="197"/>
      <c r="AS19" s="197"/>
      <c r="AT19" s="197"/>
      <c r="AU19" s="197"/>
      <c r="AV19" s="197"/>
      <c r="AW19" s="197"/>
      <c r="AX19" s="197"/>
      <c r="AY19" s="197"/>
      <c r="AZ19" s="197"/>
      <c r="BA19" s="197"/>
      <c r="BB19" s="197"/>
      <c r="BC19" s="197"/>
      <c r="BD19" s="197"/>
      <c r="BE19" s="197"/>
      <c r="BF19" s="197"/>
    </row>
    <row r="20" spans="1:58" ht="18" customHeight="1">
      <c r="A20" s="99">
        <v>9</v>
      </c>
      <c r="B20" s="100" t="s">
        <v>91</v>
      </c>
      <c r="C20" s="101"/>
      <c r="D20" s="101">
        <v>0</v>
      </c>
      <c r="E20" s="102"/>
      <c r="F20" s="103">
        <v>41</v>
      </c>
      <c r="G20" s="87">
        <v>47</v>
      </c>
      <c r="H20" s="88">
        <v>28</v>
      </c>
      <c r="I20" s="66">
        <v>14</v>
      </c>
      <c r="J20" s="88">
        <v>25</v>
      </c>
      <c r="K20" s="88">
        <v>42</v>
      </c>
      <c r="L20" s="88">
        <v>28</v>
      </c>
      <c r="M20" s="88"/>
      <c r="N20" s="88"/>
      <c r="O20" s="88"/>
      <c r="P20" s="89">
        <f t="shared" si="1"/>
        <v>225</v>
      </c>
      <c r="Q20" s="90">
        <f t="shared" si="2"/>
        <v>77.59</v>
      </c>
      <c r="R20" s="91">
        <f t="shared" si="3"/>
        <v>46.55</v>
      </c>
      <c r="S20" s="92" t="e">
        <f>VLOOKUP(B20,'ET-1B'!D9:E28,2,FALSE)</f>
        <v>#N/A</v>
      </c>
      <c r="T20" s="93" t="e">
        <f>VLOOKUP(B20,'ET-1B'!D9:F28,3,FALSE)</f>
        <v>#N/A</v>
      </c>
      <c r="U20" s="93" t="e">
        <f>VLOOKUP(B20,'ET-1B'!D9:G28,4,FALSE)</f>
        <v>#N/A</v>
      </c>
      <c r="V20" s="94" t="e">
        <f>VLOOKUP(B20,'ET-1B'!D9:I28,6,FALSE)</f>
        <v>#N/A</v>
      </c>
      <c r="W20" s="93" t="e">
        <f>VLOOKUP(B20,'ET-1B'!D9:J28,7,FALSE)</f>
        <v>#N/A</v>
      </c>
      <c r="X20" s="93" t="e">
        <f>VLOOKUP(B20,'ET-1B'!D9:K28,8,FALSE)</f>
        <v>#N/A</v>
      </c>
      <c r="Y20" s="93" t="e">
        <f>VLOOKUP(B20,'ET-1B'!D9:L28,9,FALSE)</f>
        <v>#N/A</v>
      </c>
      <c r="Z20" s="93" t="e">
        <f>VLOOKUP(B20,'ET-1B'!D9:M28,10,FALSE)</f>
        <v>#N/A</v>
      </c>
      <c r="AA20" s="93" t="e">
        <f>VLOOKUP(B20,'ET-1B'!D9:O28,12,FALSE)</f>
        <v>#N/A</v>
      </c>
      <c r="AB20" s="93" t="e">
        <f>VLOOKUP(B20,'ET-1B'!D9:P28,13,FALSE)</f>
        <v>#N/A</v>
      </c>
      <c r="AC20" s="105" t="str">
        <f t="shared" si="5"/>
        <v/>
      </c>
      <c r="AD20" s="107" t="str">
        <f t="shared" si="9"/>
        <v/>
      </c>
      <c r="AE20" s="106" t="str">
        <f t="shared" si="6"/>
        <v/>
      </c>
      <c r="AF20" s="95">
        <v>85</v>
      </c>
      <c r="AG20" s="107">
        <f t="shared" si="7"/>
        <v>85</v>
      </c>
      <c r="AH20" s="108">
        <f t="shared" si="8"/>
        <v>17</v>
      </c>
      <c r="AI20" s="97">
        <f t="shared" si="4"/>
        <v>63.55</v>
      </c>
      <c r="AJ20" s="98">
        <f t="shared" si="0"/>
        <v>77</v>
      </c>
      <c r="AL20" s="40"/>
      <c r="AN20" s="197"/>
      <c r="AO20" s="197"/>
      <c r="AP20" s="197"/>
      <c r="AQ20" s="197"/>
      <c r="AR20" s="197"/>
      <c r="AS20" s="197"/>
      <c r="AT20" s="197"/>
      <c r="AU20" s="197"/>
      <c r="AV20" s="197"/>
      <c r="AW20" s="197"/>
      <c r="AX20" s="197"/>
      <c r="AY20" s="197"/>
      <c r="AZ20" s="197"/>
      <c r="BA20" s="197"/>
      <c r="BB20" s="197"/>
      <c r="BC20" s="197"/>
      <c r="BD20" s="197"/>
      <c r="BE20" s="197"/>
      <c r="BF20" s="197"/>
    </row>
    <row r="21" spans="1:58" ht="18" customHeight="1">
      <c r="A21" s="99">
        <v>10</v>
      </c>
      <c r="B21" s="100" t="s">
        <v>92</v>
      </c>
      <c r="C21" s="101"/>
      <c r="D21" s="101"/>
      <c r="E21" s="102"/>
      <c r="F21" s="103">
        <v>42</v>
      </c>
      <c r="G21" s="87">
        <v>48</v>
      </c>
      <c r="H21" s="88">
        <v>29</v>
      </c>
      <c r="I21" s="66">
        <v>15</v>
      </c>
      <c r="J21" s="88">
        <v>29</v>
      </c>
      <c r="K21" s="88">
        <v>43</v>
      </c>
      <c r="L21" s="88">
        <v>24</v>
      </c>
      <c r="M21" s="88"/>
      <c r="N21" s="88"/>
      <c r="O21" s="88"/>
      <c r="P21" s="89">
        <f t="shared" si="1"/>
        <v>230</v>
      </c>
      <c r="Q21" s="90">
        <f t="shared" si="2"/>
        <v>79.31</v>
      </c>
      <c r="R21" s="91">
        <f t="shared" si="3"/>
        <v>47.59</v>
      </c>
      <c r="S21" s="92" t="e">
        <f>VLOOKUP(B21,'ET-1B'!D10:E29,2,FALSE)</f>
        <v>#N/A</v>
      </c>
      <c r="T21" s="93" t="e">
        <f>VLOOKUP(B21,'ET-1B'!D10:F29,3,FALSE)</f>
        <v>#N/A</v>
      </c>
      <c r="U21" s="93" t="e">
        <f>VLOOKUP(B21,'ET-1B'!D10:G29,4,FALSE)</f>
        <v>#N/A</v>
      </c>
      <c r="V21" s="94" t="e">
        <f>VLOOKUP(B21,'ET-1B'!D10:I29,6,FALSE)</f>
        <v>#N/A</v>
      </c>
      <c r="W21" s="93" t="e">
        <f>VLOOKUP(B21,'ET-1B'!D10:J29,7,FALSE)</f>
        <v>#N/A</v>
      </c>
      <c r="X21" s="93" t="e">
        <f>VLOOKUP(B21,'ET-1B'!D10:K29,8,FALSE)</f>
        <v>#N/A</v>
      </c>
      <c r="Y21" s="93" t="e">
        <f>VLOOKUP(B21,'ET-1B'!D10:L29,9,FALSE)</f>
        <v>#N/A</v>
      </c>
      <c r="Z21" s="93" t="e">
        <f>VLOOKUP(B21,'ET-1B'!D10:M29,10,FALSE)</f>
        <v>#N/A</v>
      </c>
      <c r="AA21" s="93" t="e">
        <f>VLOOKUP(B21,'ET-1B'!D10:O29,12,FALSE)</f>
        <v>#N/A</v>
      </c>
      <c r="AB21" s="93" t="e">
        <f>VLOOKUP(B21,'ET-1B'!D10:P29,13,FALSE)</f>
        <v>#N/A</v>
      </c>
      <c r="AC21" s="105" t="str">
        <f t="shared" si="5"/>
        <v/>
      </c>
      <c r="AD21" s="107" t="str">
        <f t="shared" si="9"/>
        <v/>
      </c>
      <c r="AE21" s="106" t="str">
        <f t="shared" si="6"/>
        <v/>
      </c>
      <c r="AF21" s="95">
        <v>86</v>
      </c>
      <c r="AG21" s="107">
        <f t="shared" si="7"/>
        <v>86</v>
      </c>
      <c r="AH21" s="108">
        <f t="shared" si="8"/>
        <v>17.2</v>
      </c>
      <c r="AI21" s="97">
        <f t="shared" si="4"/>
        <v>64.790000000000006</v>
      </c>
      <c r="AJ21" s="98">
        <f t="shared" si="0"/>
        <v>77</v>
      </c>
      <c r="AL21" s="40"/>
      <c r="AN21" s="197"/>
      <c r="AO21" s="197"/>
      <c r="AP21" s="197"/>
      <c r="AQ21" s="197"/>
      <c r="AR21" s="197"/>
      <c r="AS21" s="197"/>
      <c r="AT21" s="197"/>
      <c r="AU21" s="197"/>
      <c r="AV21" s="197"/>
      <c r="AW21" s="197"/>
      <c r="AX21" s="197"/>
      <c r="AY21" s="197"/>
      <c r="AZ21" s="197"/>
      <c r="BA21" s="197"/>
      <c r="BB21" s="197"/>
      <c r="BC21" s="197"/>
      <c r="BD21" s="197"/>
      <c r="BE21" s="197"/>
      <c r="BF21" s="197"/>
    </row>
    <row r="22" spans="1:58" ht="18" customHeight="1">
      <c r="A22" s="99">
        <v>11</v>
      </c>
      <c r="B22" s="100" t="s">
        <v>93</v>
      </c>
      <c r="C22" s="101"/>
      <c r="D22" s="101"/>
      <c r="E22" s="102"/>
      <c r="F22" s="103">
        <v>43</v>
      </c>
      <c r="G22" s="87">
        <v>49</v>
      </c>
      <c r="H22" s="88">
        <v>30</v>
      </c>
      <c r="I22" s="66">
        <v>23</v>
      </c>
      <c r="J22" s="88">
        <v>28</v>
      </c>
      <c r="K22" s="88">
        <v>30</v>
      </c>
      <c r="L22" s="88">
        <v>28</v>
      </c>
      <c r="M22" s="88"/>
      <c r="N22" s="88"/>
      <c r="O22" s="88"/>
      <c r="P22" s="89">
        <f t="shared" si="1"/>
        <v>231</v>
      </c>
      <c r="Q22" s="90">
        <f t="shared" si="2"/>
        <v>79.66</v>
      </c>
      <c r="R22" s="91">
        <f t="shared" si="3"/>
        <v>47.8</v>
      </c>
      <c r="S22" s="92">
        <f>VLOOKUP(B22,'ET-1B'!D11:E30,2,FALSE)</f>
        <v>0</v>
      </c>
      <c r="T22" s="93">
        <f>VLOOKUP(B22,'ET-1B'!D11:F30,3,FALSE)</f>
        <v>18</v>
      </c>
      <c r="U22" s="93">
        <f>VLOOKUP(B22,'ET-1B'!D11:G30,4,FALSE)</f>
        <v>18</v>
      </c>
      <c r="V22" s="94">
        <f>VLOOKUP(B22,'ET-1B'!D11:I30,6,FALSE)</f>
        <v>18</v>
      </c>
      <c r="W22" s="93">
        <f>VLOOKUP(B22,'ET-1B'!D11:J30,7,FALSE)</f>
        <v>20</v>
      </c>
      <c r="X22" s="93">
        <f>VLOOKUP(B22,'ET-1B'!D11:K30,8,FALSE)</f>
        <v>18</v>
      </c>
      <c r="Y22" s="93">
        <f>VLOOKUP(B22,'ET-1B'!D11:L30,9,FALSE)</f>
        <v>0</v>
      </c>
      <c r="Z22" s="93">
        <f>VLOOKUP(B22,'ET-1B'!D11:M30,10,FALSE)</f>
        <v>13</v>
      </c>
      <c r="AA22" s="93">
        <f>VLOOKUP(B22,'ET-1B'!D11:O30,12,FALSE)</f>
        <v>18</v>
      </c>
      <c r="AB22" s="93">
        <f>VLOOKUP(B22,'ET-1B'!D11:P30,13,FALSE)</f>
        <v>0</v>
      </c>
      <c r="AC22" s="105">
        <f t="shared" si="5"/>
        <v>123</v>
      </c>
      <c r="AD22" s="107">
        <f t="shared" si="9"/>
        <v>61.5</v>
      </c>
      <c r="AE22" s="106">
        <f t="shared" si="6"/>
        <v>24.6</v>
      </c>
      <c r="AF22" s="95">
        <v>87</v>
      </c>
      <c r="AG22" s="107">
        <f t="shared" si="7"/>
        <v>87</v>
      </c>
      <c r="AH22" s="108">
        <f t="shared" si="8"/>
        <v>17.399999999999999</v>
      </c>
      <c r="AI22" s="97">
        <f t="shared" si="4"/>
        <v>89.8</v>
      </c>
      <c r="AJ22" s="98">
        <f t="shared" si="0"/>
        <v>93</v>
      </c>
      <c r="AL22" s="40"/>
      <c r="AN22" s="197"/>
      <c r="AO22" s="197"/>
      <c r="AP22" s="197"/>
      <c r="AQ22" s="197"/>
      <c r="AR22" s="197"/>
      <c r="AS22" s="197"/>
      <c r="AT22" s="197"/>
      <c r="AU22" s="197"/>
      <c r="AV22" s="197"/>
      <c r="AW22" s="197"/>
      <c r="AX22" s="197"/>
      <c r="AY22" s="197"/>
      <c r="AZ22" s="197"/>
      <c r="BA22" s="197"/>
      <c r="BB22" s="197"/>
      <c r="BC22" s="197"/>
      <c r="BD22" s="197"/>
      <c r="BE22" s="197"/>
      <c r="BF22" s="197"/>
    </row>
    <row r="23" spans="1:58" ht="18" customHeight="1">
      <c r="A23" s="99">
        <v>12</v>
      </c>
      <c r="B23" s="100" t="s">
        <v>94</v>
      </c>
      <c r="C23" s="101"/>
      <c r="D23" s="101">
        <v>0</v>
      </c>
      <c r="E23" s="102"/>
      <c r="F23" s="103">
        <v>44</v>
      </c>
      <c r="G23" s="87">
        <v>39</v>
      </c>
      <c r="H23" s="88">
        <v>30</v>
      </c>
      <c r="I23" s="66">
        <v>24</v>
      </c>
      <c r="J23" s="88">
        <v>27</v>
      </c>
      <c r="K23" s="88">
        <v>30</v>
      </c>
      <c r="L23" s="88">
        <v>25</v>
      </c>
      <c r="M23" s="88"/>
      <c r="N23" s="88"/>
      <c r="O23" s="88"/>
      <c r="P23" s="89">
        <f t="shared" si="1"/>
        <v>219</v>
      </c>
      <c r="Q23" s="90">
        <f t="shared" si="2"/>
        <v>75.52</v>
      </c>
      <c r="R23" s="91">
        <f t="shared" si="3"/>
        <v>45.31</v>
      </c>
      <c r="S23" s="92">
        <f>VLOOKUP(B23,'ET-1B'!D12:E31,2,FALSE)</f>
        <v>18</v>
      </c>
      <c r="T23" s="93">
        <f>VLOOKUP(B23,'ET-1B'!D12:F31,3,FALSE)</f>
        <v>18</v>
      </c>
      <c r="U23" s="93">
        <f>VLOOKUP(B23,'ET-1B'!D12:G31,4,FALSE)</f>
        <v>18</v>
      </c>
      <c r="V23" s="94">
        <f>VLOOKUP(B23,'ET-1B'!D12:I31,6,FALSE)</f>
        <v>20</v>
      </c>
      <c r="W23" s="93">
        <f>VLOOKUP(B23,'ET-1B'!D12:J31,7,FALSE)</f>
        <v>18</v>
      </c>
      <c r="X23" s="93">
        <f>VLOOKUP(B23,'ET-1B'!D12:K31,8,FALSE)</f>
        <v>18</v>
      </c>
      <c r="Y23" s="93">
        <f>VLOOKUP(B23,'ET-1B'!D12:L31,9,FALSE)</f>
        <v>18</v>
      </c>
      <c r="Z23" s="93">
        <f>VLOOKUP(B23,'ET-1B'!D12:M31,10,FALSE)</f>
        <v>13</v>
      </c>
      <c r="AA23" s="93">
        <f>VLOOKUP(B23,'ET-1B'!D12:O31,12,FALSE)</f>
        <v>18</v>
      </c>
      <c r="AB23" s="93">
        <f>VLOOKUP(B23,'ET-1B'!D12:P31,13,FALSE)</f>
        <v>0</v>
      </c>
      <c r="AC23" s="105">
        <f t="shared" si="5"/>
        <v>159</v>
      </c>
      <c r="AD23" s="107">
        <f t="shared" si="9"/>
        <v>79.5</v>
      </c>
      <c r="AE23" s="106">
        <f t="shared" si="6"/>
        <v>31.8</v>
      </c>
      <c r="AF23" s="95">
        <v>88</v>
      </c>
      <c r="AG23" s="107">
        <f t="shared" si="7"/>
        <v>88</v>
      </c>
      <c r="AH23" s="108">
        <f t="shared" si="8"/>
        <v>17.600000000000001</v>
      </c>
      <c r="AI23" s="97">
        <f t="shared" si="4"/>
        <v>94.71</v>
      </c>
      <c r="AJ23" s="98">
        <f t="shared" si="0"/>
        <v>96</v>
      </c>
      <c r="AL23" s="40"/>
      <c r="AN23" s="198"/>
      <c r="AO23" s="198"/>
      <c r="AP23" s="198"/>
      <c r="AQ23" s="198"/>
      <c r="AR23" s="198"/>
      <c r="AS23" s="198"/>
      <c r="AT23" s="198"/>
      <c r="AU23" s="198"/>
      <c r="AV23" s="198"/>
      <c r="AW23" s="198"/>
      <c r="AX23" s="198"/>
      <c r="AY23" s="198"/>
      <c r="AZ23" s="198"/>
      <c r="BA23" s="198"/>
      <c r="BB23" s="198"/>
      <c r="BC23" s="198"/>
      <c r="BD23" s="198"/>
      <c r="BE23" s="198"/>
      <c r="BF23" s="198"/>
    </row>
    <row r="24" spans="1:58" ht="18" customHeight="1">
      <c r="A24" s="99">
        <v>13</v>
      </c>
      <c r="B24" s="100" t="s">
        <v>95</v>
      </c>
      <c r="C24" s="101"/>
      <c r="D24" s="101"/>
      <c r="E24" s="102"/>
      <c r="F24" s="103">
        <v>45</v>
      </c>
      <c r="G24" s="87">
        <v>41</v>
      </c>
      <c r="H24" s="88">
        <v>30</v>
      </c>
      <c r="I24" s="66">
        <v>25</v>
      </c>
      <c r="J24" s="88">
        <v>24</v>
      </c>
      <c r="K24" s="88">
        <v>31</v>
      </c>
      <c r="L24" s="88">
        <v>27</v>
      </c>
      <c r="M24" s="88"/>
      <c r="N24" s="88"/>
      <c r="O24" s="88"/>
      <c r="P24" s="89">
        <f t="shared" si="1"/>
        <v>223</v>
      </c>
      <c r="Q24" s="90">
        <f t="shared" si="2"/>
        <v>76.900000000000006</v>
      </c>
      <c r="R24" s="91">
        <f t="shared" si="3"/>
        <v>46.14</v>
      </c>
      <c r="S24" s="92">
        <f>VLOOKUP(B24,'ET-1B'!D13:E32,2,FALSE)</f>
        <v>18</v>
      </c>
      <c r="T24" s="93">
        <f>VLOOKUP(B24,'ET-1B'!D13:F32,3,FALSE)</f>
        <v>18</v>
      </c>
      <c r="U24" s="93">
        <f>VLOOKUP(B24,'ET-1B'!D13:G32,4,FALSE)</f>
        <v>18</v>
      </c>
      <c r="V24" s="94">
        <f>VLOOKUP(B24,'ET-1B'!D13:I32,6,FALSE)</f>
        <v>15</v>
      </c>
      <c r="W24" s="93">
        <f>VLOOKUP(B24,'ET-1B'!D13:J32,7,FALSE)</f>
        <v>20</v>
      </c>
      <c r="X24" s="93">
        <f>VLOOKUP(B24,'ET-1B'!D13:K32,8,FALSE)</f>
        <v>18</v>
      </c>
      <c r="Y24" s="93">
        <f>VLOOKUP(B24,'ET-1B'!D13:L32,9,FALSE)</f>
        <v>0</v>
      </c>
      <c r="Z24" s="93">
        <f>VLOOKUP(B24,'ET-1B'!D13:M32,10,FALSE)</f>
        <v>20</v>
      </c>
      <c r="AA24" s="93">
        <f>VLOOKUP(B24,'ET-1B'!D13:O32,12,FALSE)</f>
        <v>18</v>
      </c>
      <c r="AB24" s="93">
        <f>VLOOKUP(B24,'ET-1B'!D13:P32,13,FALSE)</f>
        <v>0</v>
      </c>
      <c r="AC24" s="105">
        <f t="shared" si="5"/>
        <v>145</v>
      </c>
      <c r="AD24" s="107">
        <f t="shared" si="9"/>
        <v>72.5</v>
      </c>
      <c r="AE24" s="106">
        <f t="shared" si="6"/>
        <v>29</v>
      </c>
      <c r="AF24" s="95">
        <v>89</v>
      </c>
      <c r="AG24" s="107">
        <f t="shared" si="7"/>
        <v>89</v>
      </c>
      <c r="AH24" s="108">
        <f t="shared" si="8"/>
        <v>17.8</v>
      </c>
      <c r="AI24" s="97">
        <f t="shared" si="4"/>
        <v>92.94</v>
      </c>
      <c r="AJ24" s="98">
        <f t="shared" si="0"/>
        <v>95</v>
      </c>
      <c r="AL24" s="40"/>
      <c r="AN24" s="199"/>
      <c r="AO24" s="199"/>
      <c r="AP24" s="199"/>
      <c r="AQ24" s="199"/>
      <c r="AR24" s="199"/>
      <c r="AS24" s="199"/>
      <c r="AT24" s="199"/>
      <c r="AU24" s="199"/>
      <c r="AV24" s="199"/>
      <c r="AW24" s="199"/>
      <c r="AX24" s="199"/>
      <c r="AY24" s="199"/>
      <c r="AZ24" s="199"/>
      <c r="BA24" s="199"/>
      <c r="BB24" s="199"/>
      <c r="BC24" s="199"/>
      <c r="BD24" s="199"/>
      <c r="BE24" s="199"/>
      <c r="BF24" s="199"/>
    </row>
    <row r="25" spans="1:58" ht="18" customHeight="1">
      <c r="A25" s="99">
        <v>14</v>
      </c>
      <c r="B25" s="100" t="s">
        <v>96</v>
      </c>
      <c r="C25" s="101"/>
      <c r="D25" s="101"/>
      <c r="E25" s="102"/>
      <c r="F25" s="103">
        <v>46</v>
      </c>
      <c r="G25" s="87">
        <v>46</v>
      </c>
      <c r="H25" s="88">
        <v>30</v>
      </c>
      <c r="I25" s="66">
        <v>26</v>
      </c>
      <c r="J25" s="88">
        <v>21</v>
      </c>
      <c r="K25" s="88">
        <v>20</v>
      </c>
      <c r="L25" s="88">
        <v>26</v>
      </c>
      <c r="M25" s="88"/>
      <c r="N25" s="88"/>
      <c r="O25" s="88"/>
      <c r="P25" s="89">
        <f t="shared" si="1"/>
        <v>215</v>
      </c>
      <c r="Q25" s="90">
        <f t="shared" si="2"/>
        <v>74.14</v>
      </c>
      <c r="R25" s="91">
        <f t="shared" si="3"/>
        <v>44.48</v>
      </c>
      <c r="S25" s="92" t="e">
        <f>VLOOKUP(B25,'ET-1B'!D14:E33,2,FALSE)</f>
        <v>#N/A</v>
      </c>
      <c r="T25" s="93" t="e">
        <f>VLOOKUP(B25,'ET-1B'!D14:F33,3,FALSE)</f>
        <v>#N/A</v>
      </c>
      <c r="U25" s="93" t="e">
        <f>VLOOKUP(B25,'ET-1B'!D14:G33,4,FALSE)</f>
        <v>#N/A</v>
      </c>
      <c r="V25" s="94" t="e">
        <f>VLOOKUP(B25,'ET-1B'!D14:I33,6,FALSE)</f>
        <v>#N/A</v>
      </c>
      <c r="W25" s="93" t="e">
        <f>VLOOKUP(B25,'ET-1B'!D14:J33,7,FALSE)</f>
        <v>#N/A</v>
      </c>
      <c r="X25" s="93" t="e">
        <f>VLOOKUP(B25,'ET-1B'!D14:K33,8,FALSE)</f>
        <v>#N/A</v>
      </c>
      <c r="Y25" s="93" t="e">
        <f>VLOOKUP(B25,'ET-1B'!D14:L33,9,FALSE)</f>
        <v>#N/A</v>
      </c>
      <c r="Z25" s="93" t="e">
        <f>VLOOKUP(B25,'ET-1B'!D14:M33,10,FALSE)</f>
        <v>#N/A</v>
      </c>
      <c r="AA25" s="93" t="e">
        <f>VLOOKUP(B25,'ET-1B'!D14:O33,12,FALSE)</f>
        <v>#N/A</v>
      </c>
      <c r="AB25" s="93" t="e">
        <f>VLOOKUP(B25,'ET-1B'!D14:P33,13,FALSE)</f>
        <v>#N/A</v>
      </c>
      <c r="AC25" s="105" t="str">
        <f t="shared" si="5"/>
        <v/>
      </c>
      <c r="AD25" s="107" t="str">
        <f t="shared" si="9"/>
        <v/>
      </c>
      <c r="AE25" s="106" t="str">
        <f t="shared" si="6"/>
        <v/>
      </c>
      <c r="AF25" s="95">
        <v>91</v>
      </c>
      <c r="AG25" s="107">
        <f t="shared" si="7"/>
        <v>91</v>
      </c>
      <c r="AH25" s="108">
        <f t="shared" si="8"/>
        <v>18.2</v>
      </c>
      <c r="AI25" s="97">
        <f t="shared" si="4"/>
        <v>62.68</v>
      </c>
      <c r="AJ25" s="98">
        <f t="shared" si="0"/>
        <v>76</v>
      </c>
      <c r="AL25" s="40"/>
      <c r="AN25" s="199"/>
      <c r="AO25" s="199"/>
      <c r="AP25" s="199"/>
      <c r="AQ25" s="199"/>
      <c r="AR25" s="199"/>
      <c r="AS25" s="199"/>
      <c r="AT25" s="199"/>
      <c r="AU25" s="199"/>
      <c r="AV25" s="199"/>
      <c r="AW25" s="199"/>
      <c r="AX25" s="199"/>
      <c r="AY25" s="199"/>
      <c r="AZ25" s="199"/>
      <c r="BA25" s="199"/>
      <c r="BB25" s="199"/>
      <c r="BC25" s="199"/>
      <c r="BD25" s="199"/>
      <c r="BE25" s="199"/>
      <c r="BF25" s="199"/>
    </row>
    <row r="26" spans="1:58" ht="18" customHeight="1">
      <c r="A26" s="99">
        <v>15</v>
      </c>
      <c r="B26" s="100" t="s">
        <v>97</v>
      </c>
      <c r="C26" s="101"/>
      <c r="D26" s="101"/>
      <c r="E26" s="102"/>
      <c r="F26" s="103">
        <v>47</v>
      </c>
      <c r="G26" s="87">
        <v>38</v>
      </c>
      <c r="H26" s="88">
        <v>29</v>
      </c>
      <c r="I26" s="66">
        <v>27</v>
      </c>
      <c r="J26" s="88">
        <v>20</v>
      </c>
      <c r="K26" s="88">
        <v>21</v>
      </c>
      <c r="L26" s="88">
        <v>28</v>
      </c>
      <c r="M26" s="88"/>
      <c r="N26" s="88"/>
      <c r="O26" s="88"/>
      <c r="P26" s="89">
        <f t="shared" si="1"/>
        <v>210</v>
      </c>
      <c r="Q26" s="90">
        <f t="shared" si="2"/>
        <v>72.41</v>
      </c>
      <c r="R26" s="91">
        <f t="shared" si="3"/>
        <v>43.45</v>
      </c>
      <c r="S26" s="92" t="e">
        <f>VLOOKUP(B26,'ET-1B'!D15:E34,2,FALSE)</f>
        <v>#N/A</v>
      </c>
      <c r="T26" s="93" t="e">
        <f>VLOOKUP(B26,'ET-1B'!D15:F34,3,FALSE)</f>
        <v>#N/A</v>
      </c>
      <c r="U26" s="93" t="e">
        <f>VLOOKUP(B26,'ET-1B'!D15:G34,4,FALSE)</f>
        <v>#N/A</v>
      </c>
      <c r="V26" s="94" t="e">
        <f>VLOOKUP(B26,'ET-1B'!D15:I34,6,FALSE)</f>
        <v>#N/A</v>
      </c>
      <c r="W26" s="93" t="e">
        <f>VLOOKUP(B26,'ET-1B'!D15:J34,7,FALSE)</f>
        <v>#N/A</v>
      </c>
      <c r="X26" s="93" t="e">
        <f>VLOOKUP(B26,'ET-1B'!D15:K34,8,FALSE)</f>
        <v>#N/A</v>
      </c>
      <c r="Y26" s="93" t="e">
        <f>VLOOKUP(B26,'ET-1B'!D15:L34,9,FALSE)</f>
        <v>#N/A</v>
      </c>
      <c r="Z26" s="93" t="e">
        <f>VLOOKUP(B26,'ET-1B'!D15:M34,10,FALSE)</f>
        <v>#N/A</v>
      </c>
      <c r="AA26" s="93" t="e">
        <f>VLOOKUP(B26,'ET-1B'!D15:O34,12,FALSE)</f>
        <v>#N/A</v>
      </c>
      <c r="AB26" s="93" t="e">
        <f>VLOOKUP(B26,'ET-1B'!D15:P34,13,FALSE)</f>
        <v>#N/A</v>
      </c>
      <c r="AC26" s="105" t="str">
        <f t="shared" si="5"/>
        <v/>
      </c>
      <c r="AD26" s="107" t="str">
        <f t="shared" si="9"/>
        <v/>
      </c>
      <c r="AE26" s="106" t="str">
        <f t="shared" si="6"/>
        <v/>
      </c>
      <c r="AF26" s="95">
        <v>91</v>
      </c>
      <c r="AG26" s="107">
        <f t="shared" si="7"/>
        <v>91</v>
      </c>
      <c r="AH26" s="108">
        <f t="shared" si="8"/>
        <v>18.2</v>
      </c>
      <c r="AI26" s="97">
        <f t="shared" si="4"/>
        <v>61.65</v>
      </c>
      <c r="AJ26" s="98">
        <f t="shared" si="0"/>
        <v>76</v>
      </c>
      <c r="AL26" s="40"/>
      <c r="AN26" s="199"/>
      <c r="AO26" s="199"/>
      <c r="AP26" s="199"/>
      <c r="AQ26" s="199"/>
      <c r="AR26" s="199"/>
      <c r="AS26" s="199"/>
      <c r="AT26" s="199"/>
      <c r="AU26" s="199"/>
      <c r="AV26" s="199"/>
      <c r="AW26" s="199"/>
      <c r="AX26" s="199"/>
      <c r="AY26" s="199"/>
      <c r="AZ26" s="199"/>
      <c r="BA26" s="199"/>
      <c r="BB26" s="199"/>
      <c r="BC26" s="199"/>
      <c r="BD26" s="199"/>
      <c r="BE26" s="199"/>
      <c r="BF26" s="199"/>
    </row>
    <row r="27" spans="1:58" ht="18" customHeight="1">
      <c r="A27" s="99">
        <v>16</v>
      </c>
      <c r="B27" s="100" t="s">
        <v>98</v>
      </c>
      <c r="C27" s="101"/>
      <c r="D27" s="101"/>
      <c r="E27" s="102"/>
      <c r="F27" s="103">
        <v>48</v>
      </c>
      <c r="G27" s="87">
        <v>39</v>
      </c>
      <c r="H27" s="88">
        <v>28</v>
      </c>
      <c r="I27" s="66">
        <v>28</v>
      </c>
      <c r="J27" s="88">
        <v>20</v>
      </c>
      <c r="K27" s="88">
        <v>30</v>
      </c>
      <c r="L27" s="88">
        <v>29</v>
      </c>
      <c r="M27" s="88"/>
      <c r="N27" s="88"/>
      <c r="O27" s="88"/>
      <c r="P27" s="89">
        <f t="shared" si="1"/>
        <v>222</v>
      </c>
      <c r="Q27" s="90">
        <f t="shared" si="2"/>
        <v>76.55</v>
      </c>
      <c r="R27" s="91">
        <f t="shared" si="3"/>
        <v>45.93</v>
      </c>
      <c r="S27" s="92" t="e">
        <f>VLOOKUP(B27,'ET-1B'!D16:E35,2,FALSE)</f>
        <v>#N/A</v>
      </c>
      <c r="T27" s="93" t="e">
        <f>VLOOKUP(B27,'ET-1B'!D16:F35,3,FALSE)</f>
        <v>#N/A</v>
      </c>
      <c r="U27" s="93" t="e">
        <f>VLOOKUP(B27,'ET-1B'!D16:G35,4,FALSE)</f>
        <v>#N/A</v>
      </c>
      <c r="V27" s="94" t="e">
        <f>VLOOKUP(B27,'ET-1B'!D16:I35,6,FALSE)</f>
        <v>#N/A</v>
      </c>
      <c r="W27" s="93" t="e">
        <f>VLOOKUP(B27,'ET-1B'!D16:J35,7,FALSE)</f>
        <v>#N/A</v>
      </c>
      <c r="X27" s="93" t="e">
        <f>VLOOKUP(B27,'ET-1B'!D16:K35,8,FALSE)</f>
        <v>#N/A</v>
      </c>
      <c r="Y27" s="93" t="e">
        <f>VLOOKUP(B27,'ET-1B'!D16:L35,9,FALSE)</f>
        <v>#N/A</v>
      </c>
      <c r="Z27" s="93" t="e">
        <f>VLOOKUP(B27,'ET-1B'!D16:M35,10,FALSE)</f>
        <v>#N/A</v>
      </c>
      <c r="AA27" s="93" t="e">
        <f>VLOOKUP(B27,'ET-1B'!D16:O35,12,FALSE)</f>
        <v>#N/A</v>
      </c>
      <c r="AB27" s="93" t="e">
        <f>VLOOKUP(B27,'ET-1B'!D16:P35,13,FALSE)</f>
        <v>#N/A</v>
      </c>
      <c r="AC27" s="105" t="str">
        <f t="shared" si="5"/>
        <v/>
      </c>
      <c r="AD27" s="107" t="str">
        <f t="shared" si="9"/>
        <v/>
      </c>
      <c r="AE27" s="106" t="str">
        <f t="shared" si="6"/>
        <v/>
      </c>
      <c r="AF27" s="95">
        <v>92</v>
      </c>
      <c r="AG27" s="107">
        <f t="shared" si="7"/>
        <v>92</v>
      </c>
      <c r="AH27" s="108">
        <f t="shared" si="8"/>
        <v>18.399999999999999</v>
      </c>
      <c r="AI27" s="97">
        <f t="shared" si="4"/>
        <v>64.33</v>
      </c>
      <c r="AJ27" s="98">
        <f t="shared" si="0"/>
        <v>77</v>
      </c>
      <c r="AL27" s="40"/>
    </row>
    <row r="28" spans="1:58" ht="18" customHeight="1">
      <c r="A28" s="99">
        <v>17</v>
      </c>
      <c r="B28" s="100" t="s">
        <v>99</v>
      </c>
      <c r="C28" s="101"/>
      <c r="D28" s="101"/>
      <c r="E28" s="102"/>
      <c r="F28" s="103">
        <v>29</v>
      </c>
      <c r="G28" s="87">
        <v>30</v>
      </c>
      <c r="H28" s="88">
        <v>29</v>
      </c>
      <c r="I28" s="66">
        <v>23</v>
      </c>
      <c r="J28" s="88">
        <v>26</v>
      </c>
      <c r="K28" s="88">
        <v>35</v>
      </c>
      <c r="L28" s="88">
        <v>34</v>
      </c>
      <c r="M28" s="88"/>
      <c r="N28" s="88"/>
      <c r="O28" s="88"/>
      <c r="P28" s="89">
        <f t="shared" si="1"/>
        <v>206</v>
      </c>
      <c r="Q28" s="90">
        <f t="shared" si="2"/>
        <v>71.03</v>
      </c>
      <c r="R28" s="91">
        <f t="shared" si="3"/>
        <v>42.62</v>
      </c>
      <c r="S28" s="92" t="e">
        <f>VLOOKUP(B28,'ET-1B'!D17:E36,2,FALSE)</f>
        <v>#N/A</v>
      </c>
      <c r="T28" s="93" t="e">
        <f>VLOOKUP(B28,'ET-1B'!D17:F36,3,FALSE)</f>
        <v>#N/A</v>
      </c>
      <c r="U28" s="93" t="e">
        <f>VLOOKUP(B28,'ET-1B'!D17:G36,4,FALSE)</f>
        <v>#N/A</v>
      </c>
      <c r="V28" s="94" t="e">
        <f>VLOOKUP(B28,'ET-1B'!D17:I36,6,FALSE)</f>
        <v>#N/A</v>
      </c>
      <c r="W28" s="93" t="e">
        <f>VLOOKUP(B28,'ET-1B'!D17:J36,7,FALSE)</f>
        <v>#N/A</v>
      </c>
      <c r="X28" s="93" t="e">
        <f>VLOOKUP(B28,'ET-1B'!D17:K36,8,FALSE)</f>
        <v>#N/A</v>
      </c>
      <c r="Y28" s="93" t="e">
        <f>VLOOKUP(B28,'ET-1B'!D17:L36,9,FALSE)</f>
        <v>#N/A</v>
      </c>
      <c r="Z28" s="93" t="e">
        <f>VLOOKUP(B28,'ET-1B'!D17:M36,10,FALSE)</f>
        <v>#N/A</v>
      </c>
      <c r="AA28" s="93" t="e">
        <f>VLOOKUP(B28,'ET-1B'!D17:O36,12,FALSE)</f>
        <v>#N/A</v>
      </c>
      <c r="AB28" s="93" t="e">
        <f>VLOOKUP(B28,'ET-1B'!D17:P36,13,FALSE)</f>
        <v>#N/A</v>
      </c>
      <c r="AC28" s="105" t="str">
        <f t="shared" si="5"/>
        <v/>
      </c>
      <c r="AD28" s="107" t="str">
        <f t="shared" si="9"/>
        <v/>
      </c>
      <c r="AE28" s="106" t="str">
        <f t="shared" si="6"/>
        <v/>
      </c>
      <c r="AF28" s="95">
        <v>93</v>
      </c>
      <c r="AG28" s="107">
        <f t="shared" si="7"/>
        <v>93</v>
      </c>
      <c r="AH28" s="108">
        <f t="shared" si="8"/>
        <v>18.600000000000001</v>
      </c>
      <c r="AI28" s="97">
        <f t="shared" si="4"/>
        <v>61.22</v>
      </c>
      <c r="AJ28" s="98">
        <f t="shared" si="0"/>
        <v>75</v>
      </c>
      <c r="AL28" s="40"/>
    </row>
    <row r="29" spans="1:58" ht="18" customHeight="1">
      <c r="A29" s="99">
        <v>18</v>
      </c>
      <c r="B29" s="100" t="s">
        <v>100</v>
      </c>
      <c r="C29" s="101"/>
      <c r="D29" s="101"/>
      <c r="E29" s="102"/>
      <c r="F29" s="103">
        <v>41</v>
      </c>
      <c r="G29" s="88">
        <v>39</v>
      </c>
      <c r="H29" s="88">
        <v>27</v>
      </c>
      <c r="I29" s="66">
        <v>16</v>
      </c>
      <c r="J29" s="88">
        <v>32</v>
      </c>
      <c r="K29" s="88">
        <v>30</v>
      </c>
      <c r="L29" s="88">
        <v>30</v>
      </c>
      <c r="M29" s="88"/>
      <c r="N29" s="88"/>
      <c r="O29" s="88"/>
      <c r="P29" s="89">
        <f t="shared" si="1"/>
        <v>215</v>
      </c>
      <c r="Q29" s="90">
        <f t="shared" si="2"/>
        <v>74.14</v>
      </c>
      <c r="R29" s="91">
        <f t="shared" si="3"/>
        <v>44.48</v>
      </c>
      <c r="S29" s="104">
        <f>VLOOKUP(B29,'ET-1B'!D1:E20,2,FALSE)</f>
        <v>18</v>
      </c>
      <c r="T29" s="94">
        <f>VLOOKUP(B29,'ET-1B'!D1:F20,3,FALSE)</f>
        <v>18</v>
      </c>
      <c r="U29" s="94">
        <f>VLOOKUP(B29,'ET-1B'!D1:G20,4,FALSE)</f>
        <v>18</v>
      </c>
      <c r="V29" s="94">
        <f>VLOOKUP(B29,'ET-1B'!D1:I20,6,FALSE)</f>
        <v>18</v>
      </c>
      <c r="W29" s="94">
        <f>VLOOKUP(B29,'ET-1B'!D1:J20,7,FALSE)</f>
        <v>18</v>
      </c>
      <c r="X29" s="94">
        <f>VLOOKUP(B29,'ET-1B'!D1:K20,8,FALSE)</f>
        <v>18</v>
      </c>
      <c r="Y29" s="94">
        <f>VLOOKUP(B29,'ET-1B'!D1:L20,9,FALSE)</f>
        <v>18</v>
      </c>
      <c r="Z29" s="94">
        <f>-VLOOKUP(B29,'ET-1B'!D1:M20,10,FALSE)</f>
        <v>0</v>
      </c>
      <c r="AA29" s="94">
        <f>VLOOKUP(B29,'ET-1B'!D1:O19,12,FALSE)</f>
        <v>18</v>
      </c>
      <c r="AB29" s="94">
        <f>VLOOKUP(B29,'ET-1B'!D1:P20,13,FALSE)</f>
        <v>18</v>
      </c>
      <c r="AC29" s="105">
        <f t="shared" si="5"/>
        <v>162</v>
      </c>
      <c r="AD29" s="107">
        <f t="shared" si="9"/>
        <v>81</v>
      </c>
      <c r="AE29" s="106">
        <f t="shared" si="6"/>
        <v>32.4</v>
      </c>
      <c r="AF29" s="95">
        <v>93</v>
      </c>
      <c r="AG29" s="107">
        <f t="shared" si="7"/>
        <v>93</v>
      </c>
      <c r="AH29" s="108">
        <f t="shared" si="8"/>
        <v>18.600000000000001</v>
      </c>
      <c r="AI29" s="97">
        <f t="shared" si="4"/>
        <v>95.48</v>
      </c>
      <c r="AJ29" s="98">
        <f t="shared" si="0"/>
        <v>97</v>
      </c>
      <c r="AL29" s="40"/>
    </row>
    <row r="30" spans="1:58" ht="18" customHeight="1">
      <c r="A30" s="99">
        <v>19</v>
      </c>
      <c r="B30" s="100" t="s">
        <v>101</v>
      </c>
      <c r="C30" s="101"/>
      <c r="D30" s="101"/>
      <c r="E30" s="102"/>
      <c r="F30" s="103">
        <v>39</v>
      </c>
      <c r="G30" s="88">
        <v>35</v>
      </c>
      <c r="H30" s="88">
        <v>22</v>
      </c>
      <c r="I30" s="66">
        <v>24</v>
      </c>
      <c r="J30" s="88">
        <v>33</v>
      </c>
      <c r="K30" s="88">
        <v>30</v>
      </c>
      <c r="L30" s="88">
        <v>34</v>
      </c>
      <c r="M30" s="88"/>
      <c r="N30" s="88"/>
      <c r="O30" s="88"/>
      <c r="P30" s="89">
        <f t="shared" si="1"/>
        <v>217</v>
      </c>
      <c r="Q30" s="90">
        <f t="shared" si="2"/>
        <v>74.83</v>
      </c>
      <c r="R30" s="91">
        <f t="shared" si="3"/>
        <v>44.9</v>
      </c>
      <c r="S30" s="104">
        <f>VLOOKUP(B30,'ET-1B'!D2:E21,2,FALSE)</f>
        <v>18</v>
      </c>
      <c r="T30" s="94">
        <f>VLOOKUP(B30,'ET-1B'!D2:F21,3,FALSE)</f>
        <v>18</v>
      </c>
      <c r="U30" s="94">
        <f>VLOOKUP(B30,'ET-1B'!D2:G21,4,FALSE)</f>
        <v>18</v>
      </c>
      <c r="V30" s="94">
        <f>VLOOKUP(B30,'ET-1B'!D2:I21,6,FALSE)</f>
        <v>20</v>
      </c>
      <c r="W30" s="94">
        <f>VLOOKUP(B30,'ET-1B'!D2:J21,7,FALSE)</f>
        <v>20</v>
      </c>
      <c r="X30" s="94">
        <f>VLOOKUP(B30,'ET-1B'!D2:K21,8,FALSE)</f>
        <v>18</v>
      </c>
      <c r="Y30" s="94">
        <f>VLOOKUP(B30,'ET-1B'!D2:L21,9,FALSE)</f>
        <v>20</v>
      </c>
      <c r="Z30" s="94">
        <f>VLOOKUP(B30,'ET-1B'!D2:M21,10,FALSE)</f>
        <v>20</v>
      </c>
      <c r="AA30" s="94">
        <f>VLOOKUP(B30,'ET-1B'!D2:O20,12,FALSE)</f>
        <v>18</v>
      </c>
      <c r="AB30" s="94">
        <f>VLOOKUP(B30,'ET-1B'!D2:P21,13,FALSE)</f>
        <v>20</v>
      </c>
      <c r="AC30" s="105">
        <f t="shared" si="5"/>
        <v>190</v>
      </c>
      <c r="AD30" s="107">
        <f t="shared" si="9"/>
        <v>95</v>
      </c>
      <c r="AE30" s="106">
        <f t="shared" si="6"/>
        <v>38</v>
      </c>
      <c r="AF30" s="95">
        <v>93</v>
      </c>
      <c r="AG30" s="107">
        <f t="shared" si="7"/>
        <v>93</v>
      </c>
      <c r="AH30" s="108">
        <f t="shared" si="8"/>
        <v>18.600000000000001</v>
      </c>
      <c r="AI30" s="97">
        <f t="shared" si="4"/>
        <v>101.5</v>
      </c>
      <c r="AJ30" s="98">
        <f t="shared" si="0"/>
        <v>100</v>
      </c>
      <c r="AL30" s="40"/>
    </row>
    <row r="31" spans="1:58" ht="18" customHeight="1">
      <c r="A31" s="99">
        <v>20</v>
      </c>
      <c r="B31" s="100" t="s">
        <v>102</v>
      </c>
      <c r="C31" s="101"/>
      <c r="D31" s="101"/>
      <c r="E31" s="102"/>
      <c r="F31" s="103">
        <v>30</v>
      </c>
      <c r="G31" s="88">
        <v>44</v>
      </c>
      <c r="H31" s="88">
        <v>26</v>
      </c>
      <c r="I31" s="66">
        <v>24</v>
      </c>
      <c r="J31" s="88">
        <v>27</v>
      </c>
      <c r="K31" s="88">
        <v>35</v>
      </c>
      <c r="L31" s="88">
        <v>33</v>
      </c>
      <c r="M31" s="88"/>
      <c r="N31" s="88"/>
      <c r="O31" s="88"/>
      <c r="P31" s="89">
        <f t="shared" si="1"/>
        <v>219</v>
      </c>
      <c r="Q31" s="90">
        <f t="shared" si="2"/>
        <v>75.52</v>
      </c>
      <c r="R31" s="91">
        <f t="shared" si="3"/>
        <v>45.31</v>
      </c>
      <c r="S31" s="104">
        <f>VLOOKUP(B31,'ET-1B'!D3:E22,2,FALSE)</f>
        <v>18</v>
      </c>
      <c r="T31" s="94">
        <f>VLOOKUP(B31,'ET-1B'!D3:F22,3,FALSE)</f>
        <v>18</v>
      </c>
      <c r="U31" s="94">
        <f>VLOOKUP(B31,'ET-1B'!D3:G22,4,FALSE)</f>
        <v>18</v>
      </c>
      <c r="V31" s="94">
        <f>VLOOKUP(B31,'ET-1B'!D3:I22,6,FALSE)</f>
        <v>0</v>
      </c>
      <c r="W31" s="94">
        <f>VLOOKUP(B31,'ET-1B'!D3:J22,7,FALSE)</f>
        <v>20</v>
      </c>
      <c r="X31" s="94">
        <f>VLOOKUP(B31,'ET-1B'!D3:K22,8,FALSE)</f>
        <v>18</v>
      </c>
      <c r="Y31" s="94">
        <f>VLOOKUP(B31,'ET-1B'!D3:L22,9,FALSE)</f>
        <v>20</v>
      </c>
      <c r="Z31" s="94">
        <f>VLOOKUP(B31,'ET-1B'!D3:M22,10,FALSE)</f>
        <v>20</v>
      </c>
      <c r="AA31" s="94">
        <f>VLOOKUP(B31,'ET-1B'!D3:O21,12,FALSE)</f>
        <v>18</v>
      </c>
      <c r="AB31" s="94">
        <f>VLOOKUP(B31,'ET-1B'!D3:P22,13,FALSE)</f>
        <v>20</v>
      </c>
      <c r="AC31" s="105">
        <f t="shared" si="5"/>
        <v>170</v>
      </c>
      <c r="AD31" s="107">
        <f t="shared" si="9"/>
        <v>85</v>
      </c>
      <c r="AE31" s="106">
        <f t="shared" si="6"/>
        <v>34</v>
      </c>
      <c r="AF31" s="95">
        <v>94</v>
      </c>
      <c r="AG31" s="107">
        <f t="shared" si="7"/>
        <v>94</v>
      </c>
      <c r="AH31" s="108">
        <f t="shared" si="8"/>
        <v>18.8</v>
      </c>
      <c r="AI31" s="97">
        <f t="shared" si="4"/>
        <v>98.11</v>
      </c>
      <c r="AJ31" s="98">
        <f t="shared" si="0"/>
        <v>98</v>
      </c>
      <c r="AL31" s="40"/>
    </row>
    <row r="32" spans="1:58" ht="18" customHeight="1">
      <c r="A32" s="99">
        <v>21</v>
      </c>
      <c r="B32" s="100" t="s">
        <v>103</v>
      </c>
      <c r="C32" s="101"/>
      <c r="D32" s="101"/>
      <c r="E32" s="102"/>
      <c r="F32" s="103">
        <v>40</v>
      </c>
      <c r="G32" s="88">
        <v>45</v>
      </c>
      <c r="H32" s="88">
        <v>23</v>
      </c>
      <c r="I32" s="66">
        <v>28</v>
      </c>
      <c r="J32" s="88">
        <v>30</v>
      </c>
      <c r="K32" s="88">
        <v>20</v>
      </c>
      <c r="L32" s="88">
        <v>32</v>
      </c>
      <c r="M32" s="88"/>
      <c r="N32" s="88"/>
      <c r="O32" s="88"/>
      <c r="P32" s="89">
        <f t="shared" si="1"/>
        <v>218</v>
      </c>
      <c r="Q32" s="90">
        <f t="shared" si="2"/>
        <v>75.17</v>
      </c>
      <c r="R32" s="91">
        <f t="shared" si="3"/>
        <v>45.1</v>
      </c>
      <c r="S32" s="104" t="e">
        <f>VLOOKUP(B32,'ET-1B'!D4:E23,2,FALSE)</f>
        <v>#N/A</v>
      </c>
      <c r="T32" s="94" t="e">
        <f>VLOOKUP(B32,'ET-1B'!D4:F23,3,FALSE)</f>
        <v>#N/A</v>
      </c>
      <c r="U32" s="94" t="e">
        <f>VLOOKUP(B32,'ET-1B'!D4:G23,4,FALSE)</f>
        <v>#N/A</v>
      </c>
      <c r="V32" s="94" t="e">
        <f>VLOOKUP(B32,'ET-1B'!D4:I23,6,FALSE)</f>
        <v>#N/A</v>
      </c>
      <c r="W32" s="94" t="e">
        <f>VLOOKUP(B32,'ET-1B'!D4:J23,7,FALSE)</f>
        <v>#N/A</v>
      </c>
      <c r="X32" s="94" t="e">
        <f>VLOOKUP(B32,'ET-1B'!D4:K23,8,FALSE)</f>
        <v>#N/A</v>
      </c>
      <c r="Y32" s="94" t="e">
        <f>VLOOKUP(B32,'ET-1B'!D4:L23,9,FALSE)</f>
        <v>#N/A</v>
      </c>
      <c r="Z32" s="94" t="e">
        <f>-VLOOKUP(B32,'ET-1B'!D4:M23,10,FALSE)</f>
        <v>#N/A</v>
      </c>
      <c r="AA32" s="94" t="e">
        <f>VLOOKUP(B32,'ET-1B'!D4:O22,12,FALSE)</f>
        <v>#N/A</v>
      </c>
      <c r="AB32" s="94" t="e">
        <f>VLOOKUP(B32,'ET-1B'!D4:P23,13,FALSE)</f>
        <v>#N/A</v>
      </c>
      <c r="AC32" s="105" t="str">
        <f t="shared" si="5"/>
        <v/>
      </c>
      <c r="AD32" s="107" t="str">
        <f t="shared" si="9"/>
        <v/>
      </c>
      <c r="AE32" s="106" t="str">
        <f t="shared" si="6"/>
        <v/>
      </c>
      <c r="AF32" s="95">
        <v>94</v>
      </c>
      <c r="AG32" s="107">
        <f t="shared" si="7"/>
        <v>94</v>
      </c>
      <c r="AH32" s="108">
        <f t="shared" si="8"/>
        <v>18.8</v>
      </c>
      <c r="AI32" s="97">
        <f t="shared" si="4"/>
        <v>63.9</v>
      </c>
      <c r="AJ32" s="98">
        <f t="shared" si="0"/>
        <v>77</v>
      </c>
      <c r="AL32" s="40"/>
    </row>
    <row r="33" spans="1:56" ht="18" customHeight="1">
      <c r="A33" s="99">
        <v>22</v>
      </c>
      <c r="B33" s="109" t="s">
        <v>104</v>
      </c>
      <c r="C33" s="110"/>
      <c r="D33" s="110"/>
      <c r="E33" s="111"/>
      <c r="F33" s="103">
        <v>40</v>
      </c>
      <c r="G33" s="88">
        <v>39</v>
      </c>
      <c r="H33" s="88">
        <v>21</v>
      </c>
      <c r="I33" s="66">
        <v>21</v>
      </c>
      <c r="J33" s="88">
        <v>29</v>
      </c>
      <c r="K33" s="88">
        <v>19</v>
      </c>
      <c r="L33" s="88">
        <v>30</v>
      </c>
      <c r="M33" s="88"/>
      <c r="N33" s="88"/>
      <c r="O33" s="88"/>
      <c r="P33" s="89">
        <f t="shared" si="1"/>
        <v>199</v>
      </c>
      <c r="Q33" s="90">
        <f t="shared" si="2"/>
        <v>68.62</v>
      </c>
      <c r="R33" s="91">
        <f t="shared" si="3"/>
        <v>41.17</v>
      </c>
      <c r="S33" s="104">
        <f>VLOOKUP(B33,'ET-1B'!D5:E24,2,FALSE)</f>
        <v>18</v>
      </c>
      <c r="T33" s="94">
        <f>VLOOKUP(B33,'ET-1B'!D5:F24,3,FALSE)</f>
        <v>18</v>
      </c>
      <c r="U33" s="94">
        <f>VLOOKUP(B33,'ET-1B'!D5:G24,4,FALSE)</f>
        <v>18</v>
      </c>
      <c r="V33" s="94">
        <f>VLOOKUP(B33,'ET-1B'!D5:I24,6,FALSE)</f>
        <v>18</v>
      </c>
      <c r="W33" s="94">
        <f>VLOOKUP(B33,'ET-1B'!D5:J24,7,FALSE)</f>
        <v>20</v>
      </c>
      <c r="X33" s="94">
        <f>VLOOKUP(B33,'ET-1B'!D5:K24,8,FALSE)</f>
        <v>0</v>
      </c>
      <c r="Y33" s="94">
        <f>VLOOKUP(B33,'ET-1B'!D5:L24,9,FALSE)</f>
        <v>15</v>
      </c>
      <c r="Z33" s="94">
        <f>VLOOKUP(B33,'ET-1B'!D5:M24,10,FALSE)</f>
        <v>20</v>
      </c>
      <c r="AA33" s="94">
        <f>VLOOKUP(B33,'ET-1B'!D5:O23,12,FALSE)</f>
        <v>0</v>
      </c>
      <c r="AB33" s="94">
        <f>VLOOKUP(B33,'ET-1B'!D5:P24,13,FALSE)</f>
        <v>20</v>
      </c>
      <c r="AC33" s="105">
        <f t="shared" si="5"/>
        <v>147</v>
      </c>
      <c r="AD33" s="107">
        <f t="shared" si="9"/>
        <v>73.5</v>
      </c>
      <c r="AE33" s="106">
        <f t="shared" si="6"/>
        <v>29.4</v>
      </c>
      <c r="AF33" s="95">
        <v>94</v>
      </c>
      <c r="AG33" s="107">
        <f>IF(ISERROR(IF($AF33="","",ROUND(($AF33/$AF$10)*$AG$10,2))),"",IF($AF33="","",ROUND(($AF33/$AF$10)*$AG$10,2)))</f>
        <v>94</v>
      </c>
      <c r="AH33" s="108">
        <f>IF($AG33="","",ROUND($AG33*$AH$10,2))</f>
        <v>18.8</v>
      </c>
      <c r="AI33" s="97">
        <f t="shared" si="4"/>
        <v>89.37</v>
      </c>
      <c r="AJ33" s="98">
        <f t="shared" si="0"/>
        <v>93</v>
      </c>
      <c r="AL33" s="40"/>
    </row>
    <row r="34" spans="1:56" ht="18" customHeight="1" thickBot="1">
      <c r="A34" s="112">
        <v>23</v>
      </c>
      <c r="B34" s="200" t="s">
        <v>105</v>
      </c>
      <c r="C34" s="201"/>
      <c r="D34" s="201"/>
      <c r="E34" s="202"/>
      <c r="F34" s="113">
        <v>40</v>
      </c>
      <c r="G34" s="66">
        <v>40</v>
      </c>
      <c r="H34" s="66">
        <v>28</v>
      </c>
      <c r="I34" s="66">
        <v>20</v>
      </c>
      <c r="J34" s="66">
        <v>20</v>
      </c>
      <c r="K34" s="66">
        <v>15</v>
      </c>
      <c r="L34" s="66">
        <v>31</v>
      </c>
      <c r="M34" s="66"/>
      <c r="N34" s="66"/>
      <c r="O34" s="66"/>
      <c r="P34" s="89">
        <f t="shared" si="1"/>
        <v>194</v>
      </c>
      <c r="Q34" s="90">
        <f t="shared" si="2"/>
        <v>66.900000000000006</v>
      </c>
      <c r="R34" s="91">
        <f t="shared" si="3"/>
        <v>40.14</v>
      </c>
      <c r="S34" s="104" t="e">
        <f>VLOOKUP(B34,'ET-1B'!D6:E25,2,FALSE)</f>
        <v>#N/A</v>
      </c>
      <c r="T34" s="94" t="e">
        <f>VLOOKUP(B34,'ET-1B'!D6:F25,3,FALSE)</f>
        <v>#N/A</v>
      </c>
      <c r="U34" s="94" t="e">
        <f>VLOOKUP(B34,'ET-1B'!D6:G25,4,FALSE)</f>
        <v>#N/A</v>
      </c>
      <c r="V34" s="94" t="e">
        <f>VLOOKUP(B34,'ET-1B'!D6:I25,6,FALSE)</f>
        <v>#N/A</v>
      </c>
      <c r="W34" s="94" t="e">
        <f>VLOOKUP(B34,'ET-1B'!D6:J25,7,FALSE)</f>
        <v>#N/A</v>
      </c>
      <c r="X34" s="94" t="e">
        <f>VLOOKUP(B34,'ET-1B'!D6:K25,8,FALSE)</f>
        <v>#N/A</v>
      </c>
      <c r="Y34" s="94" t="e">
        <f>VLOOKUP(B34,'ET-1B'!D6:L25,9,FALSE)</f>
        <v>#N/A</v>
      </c>
      <c r="Z34" s="94" t="e">
        <f>-VLOOKUP(B34,'ET-1B'!D6:M25,10,FALSE)</f>
        <v>#N/A</v>
      </c>
      <c r="AA34" s="94" t="e">
        <f>VLOOKUP(B34,'ET-1B'!D6:O24,12,FALSE)</f>
        <v>#N/A</v>
      </c>
      <c r="AB34" s="94" t="e">
        <f>VLOOKUP(B34,'ET-1B'!D6:P25,13,FALSE)</f>
        <v>#N/A</v>
      </c>
      <c r="AC34" s="105" t="str">
        <f t="shared" si="5"/>
        <v/>
      </c>
      <c r="AD34" s="107" t="str">
        <f t="shared" si="9"/>
        <v/>
      </c>
      <c r="AE34" s="106" t="str">
        <f t="shared" si="6"/>
        <v/>
      </c>
      <c r="AF34" s="95">
        <v>95</v>
      </c>
      <c r="AG34" s="107">
        <f>IF(ISERROR(IF($AF34="","",ROUND(($AF34/$AF$10)*$AG$10,2))),"",IF($AF34="","",ROUND(($AF34/$AF$10)*$AG$10,2)))</f>
        <v>95</v>
      </c>
      <c r="AH34" s="108">
        <f>IF($AG34="","",ROUND($AG34*$AH$10,2))</f>
        <v>19</v>
      </c>
      <c r="AI34" s="97">
        <f t="shared" si="4"/>
        <v>59.14</v>
      </c>
      <c r="AJ34" s="98">
        <f t="shared" si="0"/>
        <v>74</v>
      </c>
      <c r="AL34" s="40"/>
    </row>
    <row r="35" spans="1:56" ht="18" customHeight="1" thickBot="1">
      <c r="A35" s="115"/>
      <c r="B35" s="116" t="s">
        <v>106</v>
      </c>
      <c r="C35" s="117"/>
      <c r="D35" s="117"/>
      <c r="E35" s="117"/>
      <c r="F35" s="118"/>
      <c r="G35" s="119"/>
      <c r="H35" s="119"/>
      <c r="I35" s="119"/>
      <c r="J35" s="119"/>
      <c r="K35" s="119"/>
      <c r="L35" s="119"/>
      <c r="M35" s="119"/>
      <c r="N35" s="119"/>
      <c r="O35" s="119"/>
      <c r="P35" s="119"/>
      <c r="Q35" s="119"/>
      <c r="R35" s="120"/>
      <c r="S35" s="118"/>
      <c r="T35" s="119"/>
      <c r="U35" s="119"/>
      <c r="V35" s="119"/>
      <c r="W35" s="119"/>
      <c r="X35" s="119"/>
      <c r="Y35" s="119"/>
      <c r="Z35" s="119"/>
      <c r="AA35" s="119"/>
      <c r="AB35" s="119"/>
      <c r="AC35" s="119"/>
      <c r="AD35" s="119"/>
      <c r="AE35" s="121"/>
      <c r="AF35" s="122"/>
      <c r="AG35" s="123"/>
      <c r="AH35" s="124"/>
      <c r="AI35" s="125"/>
      <c r="AJ35" s="126"/>
      <c r="AL35" s="40"/>
      <c r="AO35" s="38"/>
      <c r="AP35" s="38"/>
      <c r="AQ35" s="38"/>
      <c r="AR35" s="38"/>
      <c r="AS35" s="38"/>
      <c r="AT35" s="38"/>
      <c r="AU35" s="38"/>
      <c r="AV35" s="38"/>
      <c r="AW35" s="38"/>
      <c r="AX35" s="38"/>
      <c r="AY35" s="38"/>
      <c r="AZ35" s="38"/>
      <c r="BA35" s="38"/>
      <c r="BB35" s="38"/>
      <c r="BC35" s="38"/>
      <c r="BD35" s="38"/>
    </row>
    <row r="36" spans="1:56" ht="18" customHeight="1" thickBot="1">
      <c r="A36" s="127">
        <v>1</v>
      </c>
      <c r="B36" s="128" t="s">
        <v>107</v>
      </c>
      <c r="C36" s="129"/>
      <c r="D36" s="129"/>
      <c r="E36" s="129"/>
      <c r="F36" s="130">
        <v>20</v>
      </c>
      <c r="G36" s="131">
        <v>30</v>
      </c>
      <c r="H36" s="131">
        <v>32</v>
      </c>
      <c r="I36" s="131">
        <v>30</v>
      </c>
      <c r="J36" s="131">
        <v>30</v>
      </c>
      <c r="K36" s="131">
        <v>31</v>
      </c>
      <c r="L36" s="131">
        <v>34</v>
      </c>
      <c r="M36" s="131"/>
      <c r="N36" s="131"/>
      <c r="O36" s="131"/>
      <c r="P36" s="132">
        <f t="shared" ref="P36:P80" si="10">IF(COUNT($F36:$O36)=0,"",SUM($F36:$O36))</f>
        <v>207</v>
      </c>
      <c r="Q36" s="133">
        <f t="shared" ref="Q36:Q99" si="11">IF(ISERROR(IF($P36="","",ROUND(($P36/$P$10)*$Q$10,2))),"",IF($P36="","",ROUND(($P36/$P$10)*$Q$10,2)))</f>
        <v>71.38</v>
      </c>
      <c r="R36" s="134">
        <f t="shared" ref="R36:R99" si="12">IF($Q36="","",ROUND($Q36*$R$10,2))</f>
        <v>42.83</v>
      </c>
      <c r="S36" s="135">
        <f>VLOOKUP(B36,'ET-1B'!D1:E20,2,FALSE)</f>
        <v>18</v>
      </c>
      <c r="T36" s="131">
        <f>VLOOKUP(B36,'ET-1B'!D1:F20,3,FALSE)</f>
        <v>18</v>
      </c>
      <c r="U36" s="131">
        <f>VLOOKUP(B36,'ET-1B'!D1:G20,4,FALSE)</f>
        <v>18</v>
      </c>
      <c r="V36" s="131">
        <f>VLOOKUP(B36,'ET-1B'!D1:I20,6,FALSE)</f>
        <v>20</v>
      </c>
      <c r="W36" s="131">
        <f>VLOOKUP(B36,'ET-1B'!D1:J20,7,FALSE)</f>
        <v>20</v>
      </c>
      <c r="X36" s="131">
        <f>VLOOKUP(B36,'ET-1B'!D1:K19,8,FALSE)</f>
        <v>18</v>
      </c>
      <c r="Y36" s="131">
        <f>VLOOKUP(B36,'ET-1B'!D1:L20,9,FALSE)</f>
        <v>20</v>
      </c>
      <c r="Z36" s="131">
        <f>VLOOKUP(B36,'ET-1B'!D1:M20,10,FALSE)</f>
        <v>20</v>
      </c>
      <c r="AA36" s="131">
        <f>VLOOKUP(B36,'ET-1B'!D1:O20,12,FALSE)</f>
        <v>18</v>
      </c>
      <c r="AB36" s="131">
        <f>VLOOKUP(B36,'ET-1B'!D1:P20,13,FALSE)</f>
        <v>20</v>
      </c>
      <c r="AC36" s="132">
        <f t="shared" si="5"/>
        <v>190</v>
      </c>
      <c r="AD36" s="133">
        <f t="shared" si="9"/>
        <v>95</v>
      </c>
      <c r="AE36" s="136">
        <f t="shared" si="6"/>
        <v>38</v>
      </c>
      <c r="AF36" s="92">
        <v>98</v>
      </c>
      <c r="AG36" s="90">
        <f t="shared" si="7"/>
        <v>98</v>
      </c>
      <c r="AH36" s="91">
        <f t="shared" si="8"/>
        <v>19.600000000000001</v>
      </c>
      <c r="AI36" s="137">
        <f>IF(ISERROR(IF($AF36="","",ROUND(SUM($R36,$AE36,$AH36),2))),"",IF($AF36="","",ROUND(SUM($R36,$AE36,$AH36),2)))</f>
        <v>100.43</v>
      </c>
      <c r="AJ36" s="138">
        <f t="shared" ref="AJ36:AJ79" si="13">IF(ISERROR(IF($AF36="","",VLOOKUP(AI36,TRANSMUTATION_TABLE,4,TRUE))),"",IF($AF36="","",VLOOKUP(AI36,TRANSMUTATION_TABLE,4,TRUE)))</f>
        <v>100</v>
      </c>
      <c r="AL36" s="40"/>
      <c r="AO36" s="38"/>
      <c r="AP36" s="38"/>
      <c r="AQ36" s="38"/>
      <c r="AR36" s="38"/>
      <c r="AS36" s="38"/>
      <c r="AT36" s="38"/>
      <c r="AU36" s="38"/>
      <c r="AV36" s="38"/>
      <c r="AW36" s="38"/>
      <c r="AX36" s="38"/>
      <c r="AY36" s="38"/>
      <c r="AZ36" s="38"/>
      <c r="BA36" s="38"/>
      <c r="BB36" s="38"/>
      <c r="BC36" s="38"/>
      <c r="BD36" s="38"/>
    </row>
    <row r="37" spans="1:56" ht="18" customHeight="1" thickBot="1">
      <c r="A37" s="139">
        <v>2</v>
      </c>
      <c r="B37" s="128" t="s">
        <v>108</v>
      </c>
      <c r="C37" s="101"/>
      <c r="D37" s="101"/>
      <c r="E37" s="101"/>
      <c r="F37" s="104">
        <v>21</v>
      </c>
      <c r="G37" s="94">
        <v>20</v>
      </c>
      <c r="H37" s="94">
        <v>31</v>
      </c>
      <c r="I37" s="94">
        <v>35</v>
      </c>
      <c r="J37" s="94">
        <v>30</v>
      </c>
      <c r="K37" s="94">
        <v>31</v>
      </c>
      <c r="L37" s="94">
        <v>35</v>
      </c>
      <c r="M37" s="94"/>
      <c r="N37" s="94"/>
      <c r="O37" s="94"/>
      <c r="P37" s="105">
        <f t="shared" si="10"/>
        <v>203</v>
      </c>
      <c r="Q37" s="107">
        <f t="shared" si="11"/>
        <v>70</v>
      </c>
      <c r="R37" s="108">
        <f t="shared" si="12"/>
        <v>42</v>
      </c>
      <c r="S37" s="135">
        <f>VLOOKUP(B37,'ET-1B'!D2:E21,2,FALSE)</f>
        <v>18</v>
      </c>
      <c r="T37" s="94">
        <v>20</v>
      </c>
      <c r="U37" s="94">
        <v>19</v>
      </c>
      <c r="V37" s="94">
        <v>19</v>
      </c>
      <c r="W37" s="94">
        <v>15</v>
      </c>
      <c r="X37" s="94">
        <v>20</v>
      </c>
      <c r="Y37" s="94">
        <v>15</v>
      </c>
      <c r="Z37" s="94">
        <v>17</v>
      </c>
      <c r="AA37" s="94">
        <v>18</v>
      </c>
      <c r="AB37" s="94">
        <v>19</v>
      </c>
      <c r="AC37" s="105">
        <f t="shared" si="5"/>
        <v>180</v>
      </c>
      <c r="AD37" s="107">
        <f t="shared" si="9"/>
        <v>90</v>
      </c>
      <c r="AE37" s="106">
        <f t="shared" si="6"/>
        <v>36</v>
      </c>
      <c r="AF37" s="104">
        <v>98</v>
      </c>
      <c r="AG37" s="107">
        <f t="shared" si="7"/>
        <v>98</v>
      </c>
      <c r="AH37" s="106">
        <f t="shared" si="8"/>
        <v>19.600000000000001</v>
      </c>
      <c r="AI37" s="140">
        <f>IF(ISERROR(IF($AF37="","",ROUND(SUM($R37,$AE37,$AH37),2))),"",IF($AF37="","",ROUND(SUM($R37,$AE37,$AH37),2)))</f>
        <v>97.6</v>
      </c>
      <c r="AJ37" s="141">
        <f t="shared" si="13"/>
        <v>98</v>
      </c>
      <c r="AL37" s="40"/>
      <c r="AO37" s="38"/>
      <c r="AP37" s="38"/>
      <c r="AQ37" s="38"/>
      <c r="AR37" s="38"/>
      <c r="AS37" s="38"/>
      <c r="AT37" s="38"/>
      <c r="AU37" s="38"/>
      <c r="AV37" s="38"/>
      <c r="AW37" s="38"/>
      <c r="AX37" s="38"/>
      <c r="AY37" s="38"/>
      <c r="AZ37" s="38"/>
      <c r="BA37" s="38"/>
      <c r="BB37" s="38"/>
      <c r="BC37" s="38"/>
      <c r="BD37" s="38"/>
    </row>
    <row r="38" spans="1:56" ht="18" customHeight="1" thickBot="1">
      <c r="A38" s="139">
        <v>3</v>
      </c>
      <c r="B38" s="128" t="s">
        <v>109</v>
      </c>
      <c r="C38" s="101"/>
      <c r="D38" s="101"/>
      <c r="E38" s="101"/>
      <c r="F38" s="104">
        <v>19</v>
      </c>
      <c r="G38" s="94">
        <v>41</v>
      </c>
      <c r="H38" s="94">
        <v>30</v>
      </c>
      <c r="I38" s="94">
        <v>20</v>
      </c>
      <c r="J38" s="94">
        <v>30</v>
      </c>
      <c r="K38" s="94">
        <v>35</v>
      </c>
      <c r="L38" s="94">
        <v>35</v>
      </c>
      <c r="M38" s="94"/>
      <c r="N38" s="94"/>
      <c r="O38" s="94"/>
      <c r="P38" s="105">
        <f t="shared" si="10"/>
        <v>210</v>
      </c>
      <c r="Q38" s="107">
        <f t="shared" si="11"/>
        <v>72.41</v>
      </c>
      <c r="R38" s="108">
        <f t="shared" si="12"/>
        <v>43.45</v>
      </c>
      <c r="S38" s="135" t="e">
        <f>VLOOKUP(B38,'ET-1B'!D3:E22,2,FALSE)</f>
        <v>#N/A</v>
      </c>
      <c r="T38" s="94">
        <v>20</v>
      </c>
      <c r="U38" s="94">
        <v>19</v>
      </c>
      <c r="V38" s="94">
        <v>19</v>
      </c>
      <c r="W38" s="94">
        <v>17</v>
      </c>
      <c r="X38" s="94">
        <v>20</v>
      </c>
      <c r="Y38" s="94">
        <v>15</v>
      </c>
      <c r="Z38" s="94">
        <v>20</v>
      </c>
      <c r="AA38" s="94">
        <v>14</v>
      </c>
      <c r="AB38" s="94">
        <v>18</v>
      </c>
      <c r="AC38" s="105" t="e">
        <f t="shared" si="5"/>
        <v>#N/A</v>
      </c>
      <c r="AD38" s="107" t="str">
        <f t="shared" si="9"/>
        <v/>
      </c>
      <c r="AE38" s="106" t="str">
        <f t="shared" si="6"/>
        <v/>
      </c>
      <c r="AF38" s="104">
        <v>98</v>
      </c>
      <c r="AG38" s="107">
        <f t="shared" si="7"/>
        <v>98</v>
      </c>
      <c r="AH38" s="106">
        <f t="shared" si="8"/>
        <v>19.600000000000001</v>
      </c>
      <c r="AI38" s="140">
        <f t="shared" ref="AI38:AI101" si="14">IF(ISERROR(IF($AF38="","",ROUND(SUM($R38,$AE38,$AH38),2))),"",IF($AF38="","",ROUND(SUM($R38,$AE38,$AH38),2)))</f>
        <v>63.05</v>
      </c>
      <c r="AJ38" s="141">
        <f t="shared" si="13"/>
        <v>76</v>
      </c>
      <c r="AL38" s="40"/>
      <c r="AO38" s="38"/>
      <c r="AP38" s="38"/>
      <c r="AQ38" s="38"/>
      <c r="AR38" s="38"/>
      <c r="AS38" s="38"/>
      <c r="AT38" s="38"/>
      <c r="AU38" s="38"/>
      <c r="AV38" s="38"/>
      <c r="AW38" s="38"/>
      <c r="AX38" s="38"/>
      <c r="AY38" s="38"/>
      <c r="AZ38" s="38"/>
      <c r="BA38" s="38"/>
      <c r="BB38" s="38"/>
      <c r="BC38" s="38"/>
      <c r="BD38" s="38"/>
    </row>
    <row r="39" spans="1:56" ht="18" customHeight="1" thickBot="1">
      <c r="A39" s="139">
        <v>4</v>
      </c>
      <c r="B39" s="142" t="s">
        <v>110</v>
      </c>
      <c r="C39" s="101"/>
      <c r="D39" s="101"/>
      <c r="E39" s="101"/>
      <c r="F39" s="104">
        <v>30</v>
      </c>
      <c r="G39" s="94">
        <v>25</v>
      </c>
      <c r="H39" s="94">
        <v>33</v>
      </c>
      <c r="I39" s="94">
        <v>35</v>
      </c>
      <c r="J39" s="94">
        <v>31</v>
      </c>
      <c r="K39" s="94">
        <v>27</v>
      </c>
      <c r="L39" s="94">
        <v>32</v>
      </c>
      <c r="M39" s="94"/>
      <c r="N39" s="94"/>
      <c r="O39" s="94"/>
      <c r="P39" s="105">
        <f t="shared" si="10"/>
        <v>213</v>
      </c>
      <c r="Q39" s="107">
        <f t="shared" si="11"/>
        <v>73.45</v>
      </c>
      <c r="R39" s="108">
        <f t="shared" si="12"/>
        <v>44.07</v>
      </c>
      <c r="S39" s="135" t="e">
        <f>VLOOKUP(B39,'ET-1B'!D4:E23,2,FALSE)</f>
        <v>#N/A</v>
      </c>
      <c r="T39" s="94">
        <v>20</v>
      </c>
      <c r="U39" s="94">
        <v>18</v>
      </c>
      <c r="V39" s="94">
        <v>20</v>
      </c>
      <c r="W39" s="94">
        <v>17</v>
      </c>
      <c r="X39" s="94">
        <v>20</v>
      </c>
      <c r="Y39" s="94">
        <v>16</v>
      </c>
      <c r="Z39" s="94">
        <v>20</v>
      </c>
      <c r="AA39" s="94">
        <v>14</v>
      </c>
      <c r="AB39" s="94">
        <v>18</v>
      </c>
      <c r="AC39" s="105" t="e">
        <f t="shared" si="5"/>
        <v>#N/A</v>
      </c>
      <c r="AD39" s="107" t="str">
        <f t="shared" si="9"/>
        <v/>
      </c>
      <c r="AE39" s="106" t="str">
        <f t="shared" si="6"/>
        <v/>
      </c>
      <c r="AF39" s="104">
        <v>97</v>
      </c>
      <c r="AG39" s="107">
        <f t="shared" si="7"/>
        <v>97</v>
      </c>
      <c r="AH39" s="106">
        <f t="shared" si="8"/>
        <v>19.399999999999999</v>
      </c>
      <c r="AI39" s="140">
        <f t="shared" si="14"/>
        <v>63.47</v>
      </c>
      <c r="AJ39" s="141">
        <f t="shared" si="13"/>
        <v>77</v>
      </c>
      <c r="AL39" s="40"/>
      <c r="AO39" s="38"/>
      <c r="AP39" s="38"/>
      <c r="AQ39" s="38"/>
      <c r="AR39" s="38"/>
      <c r="AS39" s="38"/>
      <c r="AT39" s="38"/>
      <c r="AU39" s="38"/>
      <c r="AV39" s="38"/>
      <c r="AW39" s="38"/>
      <c r="AX39" s="38"/>
      <c r="AY39" s="38"/>
      <c r="AZ39" s="38"/>
      <c r="BA39" s="38"/>
      <c r="BB39" s="38"/>
      <c r="BC39" s="38"/>
      <c r="BD39" s="38"/>
    </row>
    <row r="40" spans="1:56" ht="18" customHeight="1" thickBot="1">
      <c r="A40" s="139">
        <v>5</v>
      </c>
      <c r="B40" s="142" t="s">
        <v>111</v>
      </c>
      <c r="C40" s="101"/>
      <c r="D40" s="101"/>
      <c r="E40" s="101"/>
      <c r="F40" s="104">
        <v>30</v>
      </c>
      <c r="G40" s="94">
        <v>30</v>
      </c>
      <c r="H40" s="94">
        <v>30</v>
      </c>
      <c r="I40" s="94">
        <v>25</v>
      </c>
      <c r="J40" s="94">
        <v>31</v>
      </c>
      <c r="K40" s="94">
        <v>33</v>
      </c>
      <c r="L40" s="94">
        <v>33</v>
      </c>
      <c r="M40" s="94"/>
      <c r="N40" s="94"/>
      <c r="O40" s="94"/>
      <c r="P40" s="105">
        <f t="shared" si="10"/>
        <v>212</v>
      </c>
      <c r="Q40" s="107">
        <f t="shared" si="11"/>
        <v>73.099999999999994</v>
      </c>
      <c r="R40" s="108">
        <f t="shared" si="12"/>
        <v>43.86</v>
      </c>
      <c r="S40" s="135">
        <f>VLOOKUP(B40,'ET-1B'!D5:E24,2,FALSE)</f>
        <v>18</v>
      </c>
      <c r="T40" s="94">
        <v>20</v>
      </c>
      <c r="U40" s="94">
        <v>18</v>
      </c>
      <c r="V40" s="94">
        <v>20</v>
      </c>
      <c r="W40" s="94">
        <v>17</v>
      </c>
      <c r="X40" s="94">
        <v>20</v>
      </c>
      <c r="Y40" s="94">
        <v>16</v>
      </c>
      <c r="Z40" s="94">
        <v>20</v>
      </c>
      <c r="AA40" s="94">
        <v>12</v>
      </c>
      <c r="AB40" s="94">
        <v>17</v>
      </c>
      <c r="AC40" s="105">
        <f t="shared" si="5"/>
        <v>178</v>
      </c>
      <c r="AD40" s="107">
        <f t="shared" si="9"/>
        <v>89</v>
      </c>
      <c r="AE40" s="106">
        <f t="shared" si="6"/>
        <v>35.6</v>
      </c>
      <c r="AF40" s="104">
        <v>97</v>
      </c>
      <c r="AG40" s="107">
        <f t="shared" si="7"/>
        <v>97</v>
      </c>
      <c r="AH40" s="106">
        <f t="shared" si="8"/>
        <v>19.399999999999999</v>
      </c>
      <c r="AI40" s="140">
        <f t="shared" si="14"/>
        <v>98.86</v>
      </c>
      <c r="AJ40" s="141">
        <f t="shared" si="13"/>
        <v>99</v>
      </c>
      <c r="AL40" s="40"/>
      <c r="AO40" s="38"/>
      <c r="AP40" s="38"/>
      <c r="AQ40" s="38"/>
      <c r="AR40" s="38"/>
      <c r="AS40" s="38"/>
      <c r="AT40" s="38"/>
      <c r="AU40" s="38"/>
      <c r="AV40" s="38"/>
      <c r="AW40" s="38"/>
      <c r="AX40" s="38"/>
      <c r="AY40" s="38"/>
      <c r="AZ40" s="38"/>
      <c r="BA40" s="38"/>
      <c r="BB40" s="38"/>
      <c r="BC40" s="38"/>
      <c r="BD40" s="38"/>
    </row>
    <row r="41" spans="1:56" ht="18" customHeight="1" thickBot="1">
      <c r="A41" s="139">
        <v>6</v>
      </c>
      <c r="B41" s="128" t="s">
        <v>112</v>
      </c>
      <c r="C41" s="101"/>
      <c r="D41" s="101"/>
      <c r="E41" s="101"/>
      <c r="F41" s="104">
        <v>35</v>
      </c>
      <c r="G41" s="94">
        <v>30</v>
      </c>
      <c r="H41" s="94">
        <v>23</v>
      </c>
      <c r="I41" s="94">
        <v>31</v>
      </c>
      <c r="J41" s="94">
        <v>32</v>
      </c>
      <c r="K41" s="94">
        <v>33</v>
      </c>
      <c r="L41" s="94">
        <v>34</v>
      </c>
      <c r="M41" s="94"/>
      <c r="N41" s="94"/>
      <c r="O41" s="94"/>
      <c r="P41" s="105">
        <f t="shared" si="10"/>
        <v>218</v>
      </c>
      <c r="Q41" s="107">
        <f t="shared" si="11"/>
        <v>75.17</v>
      </c>
      <c r="R41" s="108">
        <f t="shared" si="12"/>
        <v>45.1</v>
      </c>
      <c r="S41" s="135">
        <f>VLOOKUP(B41,'ET-1B'!D6:E25,2,FALSE)</f>
        <v>18</v>
      </c>
      <c r="T41" s="94">
        <v>18</v>
      </c>
      <c r="U41" s="94">
        <v>20</v>
      </c>
      <c r="V41" s="94">
        <v>16</v>
      </c>
      <c r="W41" s="94">
        <v>20</v>
      </c>
      <c r="X41" s="94">
        <v>17</v>
      </c>
      <c r="Y41" s="94">
        <v>17</v>
      </c>
      <c r="Z41" s="94">
        <v>20</v>
      </c>
      <c r="AA41" s="94">
        <v>12</v>
      </c>
      <c r="AB41" s="94">
        <v>17</v>
      </c>
      <c r="AC41" s="105">
        <f t="shared" si="5"/>
        <v>175</v>
      </c>
      <c r="AD41" s="107">
        <f t="shared" si="9"/>
        <v>87.5</v>
      </c>
      <c r="AE41" s="106">
        <f t="shared" si="6"/>
        <v>35</v>
      </c>
      <c r="AF41" s="104">
        <v>97</v>
      </c>
      <c r="AG41" s="107">
        <f t="shared" si="7"/>
        <v>97</v>
      </c>
      <c r="AH41" s="106">
        <f t="shared" si="8"/>
        <v>19.399999999999999</v>
      </c>
      <c r="AI41" s="140">
        <f t="shared" si="14"/>
        <v>99.5</v>
      </c>
      <c r="AJ41" s="141">
        <f t="shared" si="13"/>
        <v>99</v>
      </c>
      <c r="AL41" s="40"/>
      <c r="AO41" s="38"/>
      <c r="AP41" s="38"/>
      <c r="AQ41" s="38"/>
      <c r="AR41" s="38"/>
      <c r="AS41" s="38"/>
      <c r="AT41" s="38"/>
      <c r="AU41" s="38"/>
      <c r="AV41" s="38"/>
      <c r="AW41" s="38"/>
      <c r="AX41" s="38"/>
      <c r="AY41" s="38"/>
      <c r="AZ41" s="38"/>
      <c r="BA41" s="38"/>
      <c r="BB41" s="38"/>
      <c r="BC41" s="38"/>
      <c r="BD41" s="38"/>
    </row>
    <row r="42" spans="1:56" ht="18" customHeight="1" thickBot="1">
      <c r="A42" s="139">
        <v>7</v>
      </c>
      <c r="B42" s="128" t="s">
        <v>113</v>
      </c>
      <c r="C42" s="101"/>
      <c r="D42" s="101"/>
      <c r="E42" s="101"/>
      <c r="F42" s="104">
        <v>25</v>
      </c>
      <c r="G42" s="94">
        <v>30</v>
      </c>
      <c r="H42" s="94">
        <v>34</v>
      </c>
      <c r="I42" s="94">
        <v>32</v>
      </c>
      <c r="J42" s="94">
        <v>32</v>
      </c>
      <c r="K42" s="94">
        <v>34</v>
      </c>
      <c r="L42" s="94">
        <v>30</v>
      </c>
      <c r="M42" s="94"/>
      <c r="N42" s="94"/>
      <c r="O42" s="94"/>
      <c r="P42" s="105">
        <f t="shared" si="10"/>
        <v>217</v>
      </c>
      <c r="Q42" s="107">
        <f t="shared" si="11"/>
        <v>74.83</v>
      </c>
      <c r="R42" s="108">
        <f t="shared" si="12"/>
        <v>44.9</v>
      </c>
      <c r="S42" s="135" t="e">
        <f>VLOOKUP(B42,'ET-1B'!D7:E26,2,FALSE)</f>
        <v>#N/A</v>
      </c>
      <c r="T42" s="94">
        <v>18</v>
      </c>
      <c r="U42" s="94">
        <v>20</v>
      </c>
      <c r="V42" s="94">
        <v>16</v>
      </c>
      <c r="W42" s="94">
        <v>20</v>
      </c>
      <c r="X42" s="94">
        <v>15</v>
      </c>
      <c r="Y42" s="94">
        <v>17</v>
      </c>
      <c r="Z42" s="94">
        <v>20</v>
      </c>
      <c r="AA42" s="94">
        <v>13</v>
      </c>
      <c r="AB42" s="94">
        <v>16</v>
      </c>
      <c r="AC42" s="105" t="e">
        <f t="shared" si="5"/>
        <v>#N/A</v>
      </c>
      <c r="AD42" s="107" t="str">
        <f t="shared" si="9"/>
        <v/>
      </c>
      <c r="AE42" s="106" t="str">
        <f t="shared" si="6"/>
        <v/>
      </c>
      <c r="AF42" s="104">
        <v>96</v>
      </c>
      <c r="AG42" s="107">
        <f t="shared" si="7"/>
        <v>96</v>
      </c>
      <c r="AH42" s="106">
        <f t="shared" si="8"/>
        <v>19.2</v>
      </c>
      <c r="AI42" s="140">
        <f t="shared" si="14"/>
        <v>64.099999999999994</v>
      </c>
      <c r="AJ42" s="141">
        <f t="shared" si="13"/>
        <v>77</v>
      </c>
      <c r="AL42" s="40"/>
      <c r="AO42" s="38"/>
      <c r="AP42" s="38"/>
      <c r="AQ42" s="38"/>
      <c r="AR42" s="38"/>
      <c r="AS42" s="38"/>
      <c r="AT42" s="38"/>
      <c r="AU42" s="38"/>
      <c r="AV42" s="38"/>
      <c r="AW42" s="38"/>
      <c r="AX42" s="38"/>
      <c r="AY42" s="38"/>
      <c r="AZ42" s="38"/>
      <c r="BA42" s="38"/>
      <c r="BB42" s="38"/>
      <c r="BC42" s="38"/>
      <c r="BD42" s="38"/>
    </row>
    <row r="43" spans="1:56" ht="18" customHeight="1" thickBot="1">
      <c r="A43" s="139">
        <v>8</v>
      </c>
      <c r="B43" s="142" t="s">
        <v>114</v>
      </c>
      <c r="C43" s="101"/>
      <c r="D43" s="101"/>
      <c r="E43" s="101"/>
      <c r="F43" s="104">
        <v>30</v>
      </c>
      <c r="G43" s="94">
        <v>35</v>
      </c>
      <c r="H43" s="94">
        <v>35</v>
      </c>
      <c r="I43" s="94">
        <v>33</v>
      </c>
      <c r="J43" s="94">
        <v>20</v>
      </c>
      <c r="K43" s="94">
        <v>30</v>
      </c>
      <c r="L43" s="94">
        <v>35</v>
      </c>
      <c r="M43" s="94"/>
      <c r="N43" s="94"/>
      <c r="O43" s="94"/>
      <c r="P43" s="105">
        <f t="shared" si="10"/>
        <v>218</v>
      </c>
      <c r="Q43" s="107">
        <f t="shared" si="11"/>
        <v>75.17</v>
      </c>
      <c r="R43" s="108">
        <f t="shared" si="12"/>
        <v>45.1</v>
      </c>
      <c r="S43" s="135">
        <f>VLOOKUP(B43,'ET-1B'!D8:E27,2,FALSE)</f>
        <v>0</v>
      </c>
      <c r="T43" s="94">
        <v>18</v>
      </c>
      <c r="U43" s="94">
        <v>20</v>
      </c>
      <c r="V43" s="94">
        <v>17</v>
      </c>
      <c r="W43" s="94">
        <v>20</v>
      </c>
      <c r="X43" s="94">
        <v>15</v>
      </c>
      <c r="Y43" s="94">
        <v>17</v>
      </c>
      <c r="Z43" s="94">
        <v>18</v>
      </c>
      <c r="AA43" s="94">
        <v>13</v>
      </c>
      <c r="AB43" s="94">
        <v>16</v>
      </c>
      <c r="AC43" s="105">
        <f t="shared" si="5"/>
        <v>154</v>
      </c>
      <c r="AD43" s="107">
        <f t="shared" si="9"/>
        <v>77</v>
      </c>
      <c r="AE43" s="106">
        <f t="shared" si="6"/>
        <v>30.8</v>
      </c>
      <c r="AF43" s="104">
        <v>96</v>
      </c>
      <c r="AG43" s="107">
        <f t="shared" si="7"/>
        <v>96</v>
      </c>
      <c r="AH43" s="106">
        <f t="shared" si="8"/>
        <v>19.2</v>
      </c>
      <c r="AI43" s="140">
        <f t="shared" si="14"/>
        <v>95.1</v>
      </c>
      <c r="AJ43" s="141">
        <f t="shared" si="13"/>
        <v>96</v>
      </c>
      <c r="AL43" s="40"/>
      <c r="AO43" s="38"/>
      <c r="AP43" s="38"/>
      <c r="AQ43" s="38"/>
      <c r="AR43" s="38"/>
      <c r="AS43" s="38"/>
      <c r="AT43" s="38"/>
      <c r="AU43" s="38"/>
      <c r="AV43" s="38"/>
      <c r="AW43" s="38"/>
      <c r="AX43" s="38"/>
      <c r="AY43" s="38"/>
      <c r="AZ43" s="38"/>
      <c r="BA43" s="38"/>
      <c r="BB43" s="38"/>
      <c r="BC43" s="38"/>
      <c r="BD43" s="38"/>
    </row>
    <row r="44" spans="1:56" ht="18" customHeight="1" thickBot="1">
      <c r="A44" s="139">
        <v>9</v>
      </c>
      <c r="B44" s="142" t="s">
        <v>115</v>
      </c>
      <c r="C44" s="101"/>
      <c r="D44" s="101"/>
      <c r="E44" s="101"/>
      <c r="F44" s="104">
        <v>30</v>
      </c>
      <c r="G44" s="94">
        <v>25</v>
      </c>
      <c r="H44" s="94">
        <v>25</v>
      </c>
      <c r="I44" s="94">
        <v>34</v>
      </c>
      <c r="J44" s="94">
        <v>33</v>
      </c>
      <c r="K44" s="94">
        <v>30</v>
      </c>
      <c r="L44" s="94">
        <v>30</v>
      </c>
      <c r="M44" s="94"/>
      <c r="N44" s="94"/>
      <c r="O44" s="94"/>
      <c r="P44" s="105">
        <f t="shared" si="10"/>
        <v>207</v>
      </c>
      <c r="Q44" s="107">
        <f>IF(ISERROR(IF($P44="","",ROUND(($P44/$P$10)*$Q$10,2))),"",IF($P44="","",ROUND(($P44/$P$10)*$Q$10,2)))</f>
        <v>71.38</v>
      </c>
      <c r="R44" s="108">
        <f t="shared" si="12"/>
        <v>42.83</v>
      </c>
      <c r="S44" s="135" t="e">
        <f>VLOOKUP(B44,'ET-1B'!D9:E28,2,FALSE)</f>
        <v>#N/A</v>
      </c>
      <c r="T44" s="94">
        <v>17</v>
      </c>
      <c r="U44" s="94">
        <v>20</v>
      </c>
      <c r="V44" s="94">
        <v>17</v>
      </c>
      <c r="W44" s="94">
        <v>20</v>
      </c>
      <c r="X44" s="94">
        <v>15</v>
      </c>
      <c r="Y44" s="94">
        <v>20</v>
      </c>
      <c r="Z44" s="94">
        <v>18</v>
      </c>
      <c r="AA44" s="94">
        <v>14</v>
      </c>
      <c r="AB44" s="94">
        <v>20</v>
      </c>
      <c r="AC44" s="105" t="e">
        <f t="shared" si="5"/>
        <v>#N/A</v>
      </c>
      <c r="AD44" s="107" t="str">
        <f t="shared" si="9"/>
        <v/>
      </c>
      <c r="AE44" s="106" t="str">
        <f t="shared" si="6"/>
        <v/>
      </c>
      <c r="AF44" s="104">
        <v>94</v>
      </c>
      <c r="AG44" s="107">
        <f t="shared" si="7"/>
        <v>94</v>
      </c>
      <c r="AH44" s="106">
        <f t="shared" si="8"/>
        <v>18.8</v>
      </c>
      <c r="AI44" s="140">
        <f t="shared" si="14"/>
        <v>61.63</v>
      </c>
      <c r="AJ44" s="141">
        <f t="shared" si="13"/>
        <v>76</v>
      </c>
      <c r="AL44" s="40"/>
      <c r="AO44" s="38"/>
      <c r="AP44" s="38"/>
      <c r="AQ44" s="38"/>
      <c r="AR44" s="38"/>
      <c r="AS44" s="38"/>
      <c r="AT44" s="38"/>
      <c r="AU44" s="38"/>
      <c r="AV44" s="38"/>
      <c r="AW44" s="38"/>
      <c r="AX44" s="38"/>
      <c r="AY44" s="38"/>
      <c r="AZ44" s="38"/>
      <c r="BA44" s="38"/>
      <c r="BB44" s="38"/>
      <c r="BC44" s="38"/>
      <c r="BD44" s="38"/>
    </row>
    <row r="45" spans="1:56" ht="18" customHeight="1" thickBot="1">
      <c r="A45" s="139">
        <v>10</v>
      </c>
      <c r="B45" s="142" t="s">
        <v>116</v>
      </c>
      <c r="C45" s="101"/>
      <c r="D45" s="101"/>
      <c r="E45" s="101"/>
      <c r="F45" s="104">
        <v>40</v>
      </c>
      <c r="G45" s="94">
        <v>25</v>
      </c>
      <c r="H45" s="94">
        <v>20</v>
      </c>
      <c r="I45" s="94">
        <v>25</v>
      </c>
      <c r="J45" s="94">
        <v>34</v>
      </c>
      <c r="K45" s="94">
        <v>35</v>
      </c>
      <c r="L45" s="94">
        <v>31</v>
      </c>
      <c r="M45" s="94"/>
      <c r="N45" s="94"/>
      <c r="O45" s="94"/>
      <c r="P45" s="105">
        <f t="shared" si="10"/>
        <v>210</v>
      </c>
      <c r="Q45" s="107">
        <f t="shared" ref="Q45:Q50" si="15">IF(ISERROR(IF($P45="","",ROUND(($P45/$P$10)*$Q$10,2))),"",IF($P45="","",ROUND(($P45/$P$10)*$Q$10,2)))</f>
        <v>72.41</v>
      </c>
      <c r="R45" s="108">
        <f t="shared" si="12"/>
        <v>43.45</v>
      </c>
      <c r="S45" s="135" t="e">
        <f>VLOOKUP(B45,'ET-1B'!D10:E29,2,FALSE)</f>
        <v>#N/A</v>
      </c>
      <c r="T45" s="94">
        <v>17</v>
      </c>
      <c r="U45" s="94">
        <v>20</v>
      </c>
      <c r="V45" s="94">
        <v>18</v>
      </c>
      <c r="W45" s="94">
        <v>20</v>
      </c>
      <c r="X45" s="94">
        <v>16</v>
      </c>
      <c r="Y45" s="94">
        <v>20</v>
      </c>
      <c r="Z45" s="94">
        <v>19</v>
      </c>
      <c r="AA45" s="94">
        <v>14</v>
      </c>
      <c r="AB45" s="94">
        <v>17</v>
      </c>
      <c r="AC45" s="105" t="e">
        <f t="shared" si="5"/>
        <v>#N/A</v>
      </c>
      <c r="AD45" s="107" t="str">
        <f t="shared" si="9"/>
        <v/>
      </c>
      <c r="AE45" s="106" t="str">
        <f t="shared" si="6"/>
        <v/>
      </c>
      <c r="AF45" s="104">
        <v>95</v>
      </c>
      <c r="AG45" s="107">
        <f t="shared" si="7"/>
        <v>95</v>
      </c>
      <c r="AH45" s="106">
        <f t="shared" si="8"/>
        <v>19</v>
      </c>
      <c r="AI45" s="140">
        <f t="shared" si="14"/>
        <v>62.45</v>
      </c>
      <c r="AJ45" s="141">
        <f t="shared" si="13"/>
        <v>76</v>
      </c>
      <c r="AL45" s="40"/>
      <c r="AO45" s="38"/>
      <c r="AP45" s="38"/>
      <c r="AQ45" s="38"/>
      <c r="AR45" s="38"/>
      <c r="AS45" s="38"/>
      <c r="AT45" s="38"/>
      <c r="AU45" s="38"/>
      <c r="AV45" s="38"/>
      <c r="AW45" s="38"/>
      <c r="AX45" s="38"/>
      <c r="AY45" s="38"/>
      <c r="AZ45" s="38"/>
      <c r="BA45" s="38"/>
      <c r="BB45" s="38"/>
      <c r="BC45" s="38"/>
      <c r="BD45" s="38"/>
    </row>
    <row r="46" spans="1:56" ht="18" customHeight="1" thickBot="1">
      <c r="A46" s="139">
        <v>11</v>
      </c>
      <c r="B46" s="128" t="s">
        <v>117</v>
      </c>
      <c r="C46" s="101"/>
      <c r="D46" s="101"/>
      <c r="E46" s="101"/>
      <c r="F46" s="104">
        <v>35</v>
      </c>
      <c r="G46" s="94">
        <v>32</v>
      </c>
      <c r="H46" s="94">
        <v>20</v>
      </c>
      <c r="I46" s="94">
        <v>32</v>
      </c>
      <c r="J46" s="94">
        <v>34</v>
      </c>
      <c r="K46" s="94">
        <v>35</v>
      </c>
      <c r="L46" s="94">
        <v>31</v>
      </c>
      <c r="M46" s="94"/>
      <c r="N46" s="94"/>
      <c r="O46" s="94"/>
      <c r="P46" s="105">
        <f t="shared" si="10"/>
        <v>219</v>
      </c>
      <c r="Q46" s="107">
        <f t="shared" si="15"/>
        <v>75.52</v>
      </c>
      <c r="R46" s="108">
        <f t="shared" si="12"/>
        <v>45.31</v>
      </c>
      <c r="S46" s="135" t="e">
        <f>VLOOKUP(B46,'ET-1B'!D11:E30,2,FALSE)</f>
        <v>#N/A</v>
      </c>
      <c r="T46" s="94">
        <v>17</v>
      </c>
      <c r="U46" s="94">
        <v>16</v>
      </c>
      <c r="V46" s="94">
        <v>18</v>
      </c>
      <c r="W46" s="94">
        <v>19</v>
      </c>
      <c r="X46" s="94">
        <v>16</v>
      </c>
      <c r="Y46" s="94">
        <v>20</v>
      </c>
      <c r="Z46" s="94">
        <v>19</v>
      </c>
      <c r="AA46" s="94">
        <v>15</v>
      </c>
      <c r="AB46" s="94">
        <v>16</v>
      </c>
      <c r="AC46" s="105" t="e">
        <f t="shared" si="5"/>
        <v>#N/A</v>
      </c>
      <c r="AD46" s="107" t="str">
        <f t="shared" si="9"/>
        <v/>
      </c>
      <c r="AE46" s="106" t="str">
        <f t="shared" si="6"/>
        <v/>
      </c>
      <c r="AF46" s="104">
        <v>95</v>
      </c>
      <c r="AG46" s="107">
        <f t="shared" si="7"/>
        <v>95</v>
      </c>
      <c r="AH46" s="106">
        <f t="shared" si="8"/>
        <v>19</v>
      </c>
      <c r="AI46" s="140">
        <f t="shared" si="14"/>
        <v>64.31</v>
      </c>
      <c r="AJ46" s="141">
        <f t="shared" si="13"/>
        <v>77</v>
      </c>
      <c r="AL46" s="40"/>
      <c r="AO46" s="38"/>
      <c r="AP46" s="38"/>
      <c r="AQ46" s="38"/>
      <c r="AR46" s="38"/>
      <c r="AS46" s="38"/>
      <c r="AT46" s="38"/>
      <c r="AU46" s="38"/>
      <c r="AV46" s="38"/>
      <c r="AW46" s="38"/>
      <c r="AX46" s="38"/>
      <c r="AY46" s="38"/>
      <c r="AZ46" s="38"/>
      <c r="BA46" s="38"/>
      <c r="BB46" s="38"/>
      <c r="BC46" s="38"/>
      <c r="BD46" s="38"/>
    </row>
    <row r="47" spans="1:56" ht="18" customHeight="1" thickBot="1">
      <c r="A47" s="139">
        <v>12</v>
      </c>
      <c r="B47" s="128" t="s">
        <v>118</v>
      </c>
      <c r="C47" s="101"/>
      <c r="D47" s="101"/>
      <c r="E47" s="101"/>
      <c r="F47" s="104">
        <v>25</v>
      </c>
      <c r="G47" s="94">
        <v>30</v>
      </c>
      <c r="H47" s="94">
        <v>31</v>
      </c>
      <c r="I47" s="94">
        <v>31</v>
      </c>
      <c r="J47" s="94">
        <v>35</v>
      </c>
      <c r="K47" s="94">
        <v>34</v>
      </c>
      <c r="L47" s="94">
        <v>35</v>
      </c>
      <c r="M47" s="94"/>
      <c r="N47" s="94"/>
      <c r="O47" s="94"/>
      <c r="P47" s="105">
        <f t="shared" si="10"/>
        <v>221</v>
      </c>
      <c r="Q47" s="107">
        <f t="shared" si="15"/>
        <v>76.209999999999994</v>
      </c>
      <c r="R47" s="108">
        <f t="shared" si="12"/>
        <v>45.73</v>
      </c>
      <c r="S47" s="135" t="e">
        <f>VLOOKUP(B47,'ET-1B'!D12:E31,2,FALSE)</f>
        <v>#N/A</v>
      </c>
      <c r="T47" s="94">
        <v>19</v>
      </c>
      <c r="U47" s="94">
        <v>16</v>
      </c>
      <c r="V47" s="94">
        <v>20</v>
      </c>
      <c r="W47" s="94">
        <v>19</v>
      </c>
      <c r="X47" s="94">
        <v>16</v>
      </c>
      <c r="Y47" s="94">
        <v>20</v>
      </c>
      <c r="Z47" s="94">
        <v>15</v>
      </c>
      <c r="AA47" s="94">
        <v>15</v>
      </c>
      <c r="AB47" s="94">
        <v>16</v>
      </c>
      <c r="AC47" s="105" t="e">
        <f t="shared" si="5"/>
        <v>#N/A</v>
      </c>
      <c r="AD47" s="107" t="str">
        <f t="shared" si="9"/>
        <v/>
      </c>
      <c r="AE47" s="106" t="str">
        <f t="shared" si="6"/>
        <v/>
      </c>
      <c r="AF47" s="104">
        <v>95</v>
      </c>
      <c r="AG47" s="107">
        <f t="shared" si="7"/>
        <v>95</v>
      </c>
      <c r="AH47" s="106">
        <f t="shared" si="8"/>
        <v>19</v>
      </c>
      <c r="AI47" s="140">
        <f t="shared" si="14"/>
        <v>64.73</v>
      </c>
      <c r="AJ47" s="141">
        <f t="shared" si="13"/>
        <v>77</v>
      </c>
      <c r="AL47" s="40"/>
      <c r="AO47" s="38"/>
      <c r="AP47" s="38"/>
      <c r="AQ47" s="38"/>
      <c r="AR47" s="38"/>
      <c r="AS47" s="38"/>
      <c r="AT47" s="38"/>
      <c r="AU47" s="38"/>
      <c r="AV47" s="38"/>
      <c r="AW47" s="38"/>
      <c r="AX47" s="38"/>
      <c r="AY47" s="38"/>
      <c r="AZ47" s="38"/>
      <c r="BA47" s="38"/>
      <c r="BB47" s="38"/>
      <c r="BC47" s="38"/>
      <c r="BD47" s="38"/>
    </row>
    <row r="48" spans="1:56" ht="18" customHeight="1" thickBot="1">
      <c r="A48" s="139">
        <v>13</v>
      </c>
      <c r="B48" s="142" t="s">
        <v>119</v>
      </c>
      <c r="C48" s="101"/>
      <c r="D48" s="101"/>
      <c r="E48" s="101"/>
      <c r="F48" s="104">
        <v>25</v>
      </c>
      <c r="G48" s="94">
        <v>25</v>
      </c>
      <c r="H48" s="94">
        <v>33</v>
      </c>
      <c r="I48" s="94">
        <v>35</v>
      </c>
      <c r="J48" s="94">
        <v>35</v>
      </c>
      <c r="K48" s="94">
        <v>33</v>
      </c>
      <c r="L48" s="94">
        <v>30</v>
      </c>
      <c r="M48" s="94"/>
      <c r="N48" s="94"/>
      <c r="O48" s="94"/>
      <c r="P48" s="105">
        <f t="shared" si="10"/>
        <v>216</v>
      </c>
      <c r="Q48" s="107">
        <f t="shared" si="15"/>
        <v>74.48</v>
      </c>
      <c r="R48" s="108">
        <f t="shared" si="12"/>
        <v>44.69</v>
      </c>
      <c r="S48" s="135">
        <f>VLOOKUP(B48,'ET-1B'!D13:E32,2,FALSE)</f>
        <v>18</v>
      </c>
      <c r="T48" s="94">
        <v>19</v>
      </c>
      <c r="U48" s="94">
        <v>17</v>
      </c>
      <c r="V48" s="94">
        <v>20</v>
      </c>
      <c r="W48" s="94">
        <v>19</v>
      </c>
      <c r="X48" s="94">
        <v>17</v>
      </c>
      <c r="Y48" s="94">
        <v>20</v>
      </c>
      <c r="Z48" s="94">
        <v>15</v>
      </c>
      <c r="AA48" s="94">
        <v>15</v>
      </c>
      <c r="AB48" s="94">
        <v>16</v>
      </c>
      <c r="AC48" s="105">
        <f t="shared" si="5"/>
        <v>176</v>
      </c>
      <c r="AD48" s="107">
        <f t="shared" si="9"/>
        <v>88</v>
      </c>
      <c r="AE48" s="106">
        <f t="shared" si="6"/>
        <v>35.200000000000003</v>
      </c>
      <c r="AF48" s="104">
        <v>94</v>
      </c>
      <c r="AG48" s="107">
        <f t="shared" si="7"/>
        <v>94</v>
      </c>
      <c r="AH48" s="106">
        <f t="shared" si="8"/>
        <v>18.8</v>
      </c>
      <c r="AI48" s="140">
        <f t="shared" si="14"/>
        <v>98.69</v>
      </c>
      <c r="AJ48" s="141">
        <f t="shared" si="13"/>
        <v>99</v>
      </c>
      <c r="AL48" s="40"/>
      <c r="AO48" s="38"/>
      <c r="AP48" s="38"/>
      <c r="AQ48" s="38"/>
      <c r="AR48" s="38"/>
      <c r="AS48" s="38"/>
      <c r="AT48" s="38"/>
      <c r="AU48" s="38"/>
      <c r="AV48" s="38"/>
      <c r="AW48" s="38"/>
      <c r="AX48" s="38"/>
      <c r="AY48" s="38"/>
      <c r="AZ48" s="38"/>
      <c r="BA48" s="38"/>
      <c r="BB48" s="38"/>
      <c r="BC48" s="38"/>
      <c r="BD48" s="38"/>
    </row>
    <row r="49" spans="1:56" ht="18" customHeight="1" thickBot="1">
      <c r="A49" s="139">
        <v>14</v>
      </c>
      <c r="B49" s="142" t="s">
        <v>120</v>
      </c>
      <c r="C49" s="101"/>
      <c r="D49" s="101"/>
      <c r="E49" s="101"/>
      <c r="F49" s="95">
        <v>30</v>
      </c>
      <c r="G49" s="114">
        <v>35</v>
      </c>
      <c r="H49" s="114">
        <v>33</v>
      </c>
      <c r="I49" s="114">
        <v>34</v>
      </c>
      <c r="J49" s="114">
        <v>30</v>
      </c>
      <c r="K49" s="114">
        <v>33</v>
      </c>
      <c r="L49" s="114">
        <v>33</v>
      </c>
      <c r="M49" s="114"/>
      <c r="N49" s="114"/>
      <c r="O49" s="114"/>
      <c r="P49" s="105">
        <f t="shared" si="10"/>
        <v>228</v>
      </c>
      <c r="Q49" s="107">
        <f t="shared" si="15"/>
        <v>78.62</v>
      </c>
      <c r="R49" s="108">
        <f t="shared" si="12"/>
        <v>47.17</v>
      </c>
      <c r="S49" s="135" t="e">
        <f>VLOOKUP(B49,'ET-1B'!D14:E33,2,FALSE)</f>
        <v>#N/A</v>
      </c>
      <c r="T49" s="114">
        <v>15</v>
      </c>
      <c r="U49" s="114">
        <v>17</v>
      </c>
      <c r="V49" s="114">
        <v>15</v>
      </c>
      <c r="W49" s="114">
        <v>15</v>
      </c>
      <c r="X49" s="114">
        <v>18</v>
      </c>
      <c r="Y49" s="114">
        <v>18</v>
      </c>
      <c r="Z49" s="114">
        <v>18</v>
      </c>
      <c r="AA49" s="114">
        <v>15</v>
      </c>
      <c r="AB49" s="114">
        <v>18</v>
      </c>
      <c r="AC49" s="143" t="e">
        <f t="shared" si="5"/>
        <v>#N/A</v>
      </c>
      <c r="AD49" s="144" t="str">
        <f t="shared" si="9"/>
        <v/>
      </c>
      <c r="AE49" s="145" t="str">
        <f t="shared" si="6"/>
        <v/>
      </c>
      <c r="AF49" s="95">
        <v>93</v>
      </c>
      <c r="AG49" s="144">
        <f t="shared" si="7"/>
        <v>93</v>
      </c>
      <c r="AH49" s="145">
        <f t="shared" si="8"/>
        <v>18.600000000000001</v>
      </c>
      <c r="AI49" s="140">
        <f t="shared" si="14"/>
        <v>65.77</v>
      </c>
      <c r="AJ49" s="141">
        <f t="shared" si="13"/>
        <v>78</v>
      </c>
      <c r="AL49" s="40"/>
      <c r="AO49" s="38"/>
      <c r="AP49" s="38"/>
      <c r="AQ49" s="38"/>
      <c r="AR49" s="38"/>
      <c r="AS49" s="38"/>
      <c r="AT49" s="38"/>
      <c r="AU49" s="38"/>
      <c r="AV49" s="38"/>
      <c r="AW49" s="38"/>
      <c r="AX49" s="38"/>
      <c r="AY49" s="38"/>
      <c r="AZ49" s="38"/>
      <c r="BA49" s="38"/>
      <c r="BB49" s="38"/>
      <c r="BC49" s="38"/>
      <c r="BD49" s="38"/>
    </row>
    <row r="50" spans="1:56" ht="18" customHeight="1" thickBot="1">
      <c r="A50" s="139">
        <v>15</v>
      </c>
      <c r="B50" s="142" t="s">
        <v>121</v>
      </c>
      <c r="C50" s="101"/>
      <c r="D50" s="101"/>
      <c r="E50" s="101"/>
      <c r="F50" s="146">
        <v>31</v>
      </c>
      <c r="G50" s="147">
        <v>39</v>
      </c>
      <c r="H50" s="147">
        <v>29</v>
      </c>
      <c r="I50" s="147">
        <v>30</v>
      </c>
      <c r="J50" s="147">
        <v>30</v>
      </c>
      <c r="K50" s="147">
        <v>30</v>
      </c>
      <c r="L50" s="147">
        <v>33</v>
      </c>
      <c r="M50" s="147"/>
      <c r="N50" s="147"/>
      <c r="O50" s="147"/>
      <c r="P50" s="148">
        <f t="shared" si="10"/>
        <v>222</v>
      </c>
      <c r="Q50" s="149">
        <f t="shared" si="15"/>
        <v>76.55</v>
      </c>
      <c r="R50" s="150">
        <f t="shared" si="12"/>
        <v>45.93</v>
      </c>
      <c r="S50" s="135" t="e">
        <f>VLOOKUP(B50,'ET-1B'!D15:E34,2,FALSE)</f>
        <v>#N/A</v>
      </c>
      <c r="T50" s="147">
        <v>19</v>
      </c>
      <c r="U50" s="147">
        <v>17</v>
      </c>
      <c r="V50" s="147">
        <v>20</v>
      </c>
      <c r="W50" s="147">
        <v>18</v>
      </c>
      <c r="X50" s="147">
        <v>17</v>
      </c>
      <c r="Y50" s="147">
        <v>18</v>
      </c>
      <c r="Z50" s="147">
        <v>15</v>
      </c>
      <c r="AA50" s="147">
        <v>15</v>
      </c>
      <c r="AB50" s="147">
        <v>15</v>
      </c>
      <c r="AC50" s="148" t="e">
        <f t="shared" si="5"/>
        <v>#N/A</v>
      </c>
      <c r="AD50" s="149" t="str">
        <f t="shared" si="9"/>
        <v/>
      </c>
      <c r="AE50" s="151" t="str">
        <f t="shared" si="6"/>
        <v/>
      </c>
      <c r="AF50" s="146">
        <v>93</v>
      </c>
      <c r="AG50" s="149">
        <f t="shared" si="7"/>
        <v>93</v>
      </c>
      <c r="AH50" s="151">
        <f t="shared" si="8"/>
        <v>18.600000000000001</v>
      </c>
      <c r="AI50" s="140">
        <f t="shared" si="14"/>
        <v>64.53</v>
      </c>
      <c r="AJ50" s="141">
        <f t="shared" si="13"/>
        <v>77</v>
      </c>
      <c r="AL50" s="40"/>
      <c r="AO50" s="38"/>
      <c r="AP50" s="38"/>
      <c r="AQ50" s="38"/>
      <c r="AR50" s="38"/>
      <c r="AS50" s="38"/>
      <c r="AT50" s="38"/>
      <c r="AU50" s="38"/>
      <c r="AV50" s="38"/>
      <c r="AW50" s="38"/>
      <c r="AX50" s="38"/>
      <c r="AY50" s="38"/>
      <c r="AZ50" s="38"/>
      <c r="BA50" s="38"/>
      <c r="BB50" s="38"/>
      <c r="BC50" s="38"/>
      <c r="BD50" s="38"/>
    </row>
    <row r="51" spans="1:56" ht="18" hidden="1" customHeight="1">
      <c r="A51" s="139"/>
      <c r="B51" s="128"/>
      <c r="C51" s="101"/>
      <c r="D51" s="101"/>
      <c r="E51" s="102"/>
      <c r="F51" s="92"/>
      <c r="G51" s="93"/>
      <c r="H51" s="93"/>
      <c r="I51" s="93"/>
      <c r="J51" s="93"/>
      <c r="K51" s="93"/>
      <c r="L51" s="93"/>
      <c r="M51" s="93"/>
      <c r="N51" s="93"/>
      <c r="O51" s="93"/>
      <c r="P51" s="152"/>
      <c r="Q51" s="140"/>
      <c r="R51" s="153"/>
      <c r="S51" s="154"/>
      <c r="T51" s="93"/>
      <c r="U51" s="93"/>
      <c r="V51" s="93"/>
      <c r="W51" s="93"/>
      <c r="X51" s="93"/>
      <c r="Y51" s="93"/>
      <c r="Z51" s="93"/>
      <c r="AA51" s="93"/>
      <c r="AB51" s="93"/>
      <c r="AC51" s="152"/>
      <c r="AD51" s="140"/>
      <c r="AE51" s="153"/>
      <c r="AF51" s="155"/>
      <c r="AG51" s="140"/>
      <c r="AH51" s="153"/>
      <c r="AI51" s="156"/>
      <c r="AJ51" s="141"/>
      <c r="AL51" s="40"/>
      <c r="AO51" s="38"/>
      <c r="AP51" s="38"/>
      <c r="AQ51" s="38"/>
      <c r="AR51" s="38"/>
      <c r="AS51" s="38"/>
      <c r="AT51" s="38"/>
      <c r="AU51" s="38"/>
      <c r="AV51" s="38"/>
      <c r="AW51" s="38"/>
      <c r="AX51" s="38"/>
      <c r="AY51" s="38"/>
      <c r="AZ51" s="38"/>
      <c r="BA51" s="38"/>
      <c r="BB51" s="38"/>
      <c r="BC51" s="38"/>
      <c r="BD51" s="38"/>
    </row>
    <row r="52" spans="1:56" ht="18" hidden="1" customHeight="1">
      <c r="A52" s="139"/>
      <c r="B52" s="128"/>
      <c r="C52" s="101"/>
      <c r="D52" s="101"/>
      <c r="E52" s="102"/>
      <c r="F52" s="104"/>
      <c r="G52" s="94"/>
      <c r="H52" s="94"/>
      <c r="I52" s="94"/>
      <c r="J52" s="94"/>
      <c r="K52" s="94"/>
      <c r="L52" s="94"/>
      <c r="M52" s="94"/>
      <c r="N52" s="94"/>
      <c r="O52" s="94"/>
      <c r="P52" s="152"/>
      <c r="Q52" s="140"/>
      <c r="R52" s="153"/>
      <c r="S52" s="157"/>
      <c r="T52" s="94"/>
      <c r="U52" s="94"/>
      <c r="V52" s="94"/>
      <c r="W52" s="94"/>
      <c r="X52" s="94"/>
      <c r="Y52" s="94"/>
      <c r="Z52" s="94"/>
      <c r="AA52" s="94"/>
      <c r="AB52" s="94"/>
      <c r="AC52" s="152"/>
      <c r="AD52" s="140"/>
      <c r="AE52" s="153"/>
      <c r="AF52" s="158"/>
      <c r="AG52" s="140"/>
      <c r="AH52" s="153"/>
      <c r="AI52" s="156"/>
      <c r="AJ52" s="141"/>
      <c r="AL52" s="40"/>
      <c r="AO52" s="38"/>
      <c r="AP52" s="38"/>
      <c r="AQ52" s="38"/>
      <c r="AR52" s="38"/>
      <c r="AS52" s="38"/>
      <c r="AT52" s="38"/>
      <c r="AU52" s="38"/>
      <c r="AV52" s="38"/>
      <c r="AW52" s="38"/>
      <c r="AX52" s="38"/>
      <c r="AY52" s="38"/>
      <c r="AZ52" s="38"/>
      <c r="BA52" s="38"/>
      <c r="BB52" s="38"/>
      <c r="BC52" s="38"/>
      <c r="BD52" s="38"/>
    </row>
    <row r="53" spans="1:56" ht="18" hidden="1" customHeight="1">
      <c r="A53" s="139"/>
      <c r="B53" s="142"/>
      <c r="C53" s="101"/>
      <c r="D53" s="101"/>
      <c r="E53" s="102"/>
      <c r="F53" s="104"/>
      <c r="G53" s="94"/>
      <c r="H53" s="94"/>
      <c r="I53" s="94"/>
      <c r="J53" s="94"/>
      <c r="K53" s="94"/>
      <c r="L53" s="94"/>
      <c r="M53" s="94"/>
      <c r="N53" s="94"/>
      <c r="O53" s="94"/>
      <c r="P53" s="152"/>
      <c r="Q53" s="140"/>
      <c r="R53" s="153"/>
      <c r="S53" s="157"/>
      <c r="T53" s="94"/>
      <c r="U53" s="94"/>
      <c r="V53" s="94"/>
      <c r="W53" s="94"/>
      <c r="X53" s="94"/>
      <c r="Y53" s="94"/>
      <c r="Z53" s="94"/>
      <c r="AA53" s="94"/>
      <c r="AB53" s="94"/>
      <c r="AC53" s="152"/>
      <c r="AD53" s="140"/>
      <c r="AE53" s="153"/>
      <c r="AF53" s="158"/>
      <c r="AG53" s="140"/>
      <c r="AH53" s="153"/>
      <c r="AI53" s="156"/>
      <c r="AJ53" s="141"/>
      <c r="AL53" s="40"/>
      <c r="AO53" s="38"/>
      <c r="AP53" s="38"/>
      <c r="AQ53" s="38"/>
      <c r="AR53" s="38"/>
      <c r="AS53" s="38"/>
      <c r="AT53" s="38"/>
      <c r="AU53" s="38"/>
      <c r="AV53" s="38"/>
      <c r="AW53" s="38"/>
      <c r="AX53" s="38"/>
      <c r="AY53" s="38"/>
      <c r="AZ53" s="38"/>
      <c r="BA53" s="38"/>
      <c r="BB53" s="38"/>
      <c r="BC53" s="38"/>
      <c r="BD53" s="38"/>
    </row>
    <row r="54" spans="1:56" ht="18" hidden="1" customHeight="1">
      <c r="A54" s="139"/>
      <c r="B54" s="142"/>
      <c r="C54" s="101"/>
      <c r="D54" s="101"/>
      <c r="E54" s="102"/>
      <c r="F54" s="104"/>
      <c r="G54" s="94"/>
      <c r="H54" s="94"/>
      <c r="I54" s="94"/>
      <c r="J54" s="94"/>
      <c r="K54" s="94"/>
      <c r="L54" s="94"/>
      <c r="M54" s="94"/>
      <c r="N54" s="94"/>
      <c r="O54" s="94"/>
      <c r="P54" s="152"/>
      <c r="Q54" s="140"/>
      <c r="R54" s="153"/>
      <c r="S54" s="157"/>
      <c r="T54" s="94"/>
      <c r="U54" s="94"/>
      <c r="V54" s="94"/>
      <c r="W54" s="94"/>
      <c r="X54" s="94"/>
      <c r="Y54" s="94"/>
      <c r="Z54" s="94"/>
      <c r="AA54" s="94"/>
      <c r="AB54" s="94"/>
      <c r="AC54" s="152"/>
      <c r="AD54" s="140"/>
      <c r="AE54" s="153"/>
      <c r="AF54" s="158"/>
      <c r="AG54" s="140"/>
      <c r="AH54" s="153"/>
      <c r="AI54" s="156"/>
      <c r="AJ54" s="141"/>
      <c r="AL54" s="40"/>
      <c r="AO54" s="38"/>
      <c r="AP54" s="38"/>
      <c r="AQ54" s="38"/>
      <c r="AR54" s="38"/>
      <c r="AS54" s="38"/>
      <c r="AT54" s="38"/>
      <c r="AU54" s="38"/>
      <c r="AV54" s="38"/>
      <c r="AW54" s="38"/>
      <c r="AX54" s="38"/>
      <c r="AY54" s="38"/>
      <c r="AZ54" s="38"/>
      <c r="BA54" s="38"/>
      <c r="BB54" s="38"/>
      <c r="BC54" s="38"/>
      <c r="BD54" s="38"/>
    </row>
    <row r="55" spans="1:56" ht="18" hidden="1" customHeight="1">
      <c r="A55" s="139"/>
      <c r="B55" s="128"/>
      <c r="C55" s="101"/>
      <c r="D55" s="101"/>
      <c r="E55" s="102"/>
      <c r="F55" s="104"/>
      <c r="G55" s="94"/>
      <c r="H55" s="94"/>
      <c r="I55" s="94"/>
      <c r="J55" s="94"/>
      <c r="K55" s="94"/>
      <c r="L55" s="94"/>
      <c r="M55" s="94"/>
      <c r="N55" s="94"/>
      <c r="O55" s="94"/>
      <c r="P55" s="152"/>
      <c r="Q55" s="140"/>
      <c r="R55" s="153"/>
      <c r="S55" s="157"/>
      <c r="T55" s="94"/>
      <c r="U55" s="94"/>
      <c r="V55" s="94"/>
      <c r="W55" s="94"/>
      <c r="X55" s="94"/>
      <c r="Y55" s="94"/>
      <c r="Z55" s="94"/>
      <c r="AA55" s="94"/>
      <c r="AB55" s="94"/>
      <c r="AC55" s="152"/>
      <c r="AD55" s="140"/>
      <c r="AE55" s="153"/>
      <c r="AF55" s="158"/>
      <c r="AG55" s="140"/>
      <c r="AH55" s="153"/>
      <c r="AI55" s="156"/>
      <c r="AJ55" s="141"/>
      <c r="AL55" s="40"/>
      <c r="AO55" s="38"/>
      <c r="AP55" s="38"/>
      <c r="AQ55" s="38"/>
      <c r="AR55" s="38"/>
      <c r="AS55" s="38"/>
      <c r="AT55" s="38"/>
      <c r="AU55" s="38"/>
      <c r="AV55" s="38"/>
      <c r="AW55" s="38"/>
      <c r="AX55" s="38"/>
      <c r="AY55" s="38"/>
      <c r="AZ55" s="38"/>
      <c r="BA55" s="38"/>
      <c r="BB55" s="38"/>
      <c r="BC55" s="38"/>
      <c r="BD55" s="38"/>
    </row>
    <row r="56" spans="1:56" ht="18" hidden="1" customHeight="1">
      <c r="A56" s="139"/>
      <c r="B56" s="128"/>
      <c r="C56" s="101"/>
      <c r="D56" s="101"/>
      <c r="E56" s="102"/>
      <c r="F56" s="104"/>
      <c r="G56" s="94"/>
      <c r="H56" s="94"/>
      <c r="I56" s="94"/>
      <c r="J56" s="94"/>
      <c r="K56" s="94"/>
      <c r="L56" s="94"/>
      <c r="M56" s="94"/>
      <c r="N56" s="94"/>
      <c r="O56" s="94"/>
      <c r="P56" s="152"/>
      <c r="Q56" s="140"/>
      <c r="R56" s="153"/>
      <c r="S56" s="157"/>
      <c r="T56" s="94"/>
      <c r="U56" s="94"/>
      <c r="V56" s="94"/>
      <c r="W56" s="94"/>
      <c r="X56" s="94"/>
      <c r="Y56" s="94"/>
      <c r="Z56" s="94"/>
      <c r="AA56" s="94"/>
      <c r="AB56" s="94"/>
      <c r="AC56" s="152"/>
      <c r="AD56" s="140"/>
      <c r="AE56" s="153"/>
      <c r="AF56" s="158"/>
      <c r="AG56" s="140"/>
      <c r="AH56" s="153"/>
      <c r="AI56" s="156"/>
      <c r="AJ56" s="141"/>
      <c r="AL56" s="40"/>
      <c r="AO56" s="38"/>
      <c r="AP56" s="38"/>
      <c r="AQ56" s="38"/>
      <c r="AR56" s="38"/>
      <c r="AS56" s="38"/>
      <c r="AT56" s="38"/>
      <c r="AU56" s="38"/>
      <c r="AV56" s="38"/>
      <c r="AW56" s="38"/>
      <c r="AX56" s="38"/>
      <c r="AY56" s="38"/>
      <c r="AZ56" s="38"/>
      <c r="BA56" s="38"/>
      <c r="BB56" s="38"/>
      <c r="BC56" s="38"/>
      <c r="BD56" s="38"/>
    </row>
    <row r="57" spans="1:56" ht="18" hidden="1" customHeight="1">
      <c r="A57" s="139"/>
      <c r="B57" s="142"/>
      <c r="C57" s="101"/>
      <c r="D57" s="101"/>
      <c r="E57" s="102"/>
      <c r="F57" s="104"/>
      <c r="G57" s="94"/>
      <c r="H57" s="94"/>
      <c r="I57" s="94"/>
      <c r="J57" s="94"/>
      <c r="K57" s="94"/>
      <c r="L57" s="94"/>
      <c r="M57" s="94"/>
      <c r="N57" s="94"/>
      <c r="O57" s="94"/>
      <c r="P57" s="152"/>
      <c r="Q57" s="140"/>
      <c r="R57" s="153"/>
      <c r="S57" s="157"/>
      <c r="T57" s="94"/>
      <c r="U57" s="94"/>
      <c r="V57" s="94"/>
      <c r="W57" s="94"/>
      <c r="X57" s="94"/>
      <c r="Y57" s="94"/>
      <c r="Z57" s="94"/>
      <c r="AA57" s="94"/>
      <c r="AB57" s="94"/>
      <c r="AC57" s="152"/>
      <c r="AD57" s="140"/>
      <c r="AE57" s="153"/>
      <c r="AF57" s="158"/>
      <c r="AG57" s="140"/>
      <c r="AH57" s="153"/>
      <c r="AI57" s="156"/>
      <c r="AJ57" s="141"/>
      <c r="AL57" s="40"/>
      <c r="AO57" s="38"/>
      <c r="AP57" s="38"/>
      <c r="AQ57" s="38"/>
      <c r="AR57" s="38"/>
      <c r="AS57" s="38"/>
      <c r="AT57" s="38"/>
      <c r="AU57" s="38"/>
      <c r="AV57" s="38"/>
      <c r="AW57" s="38"/>
      <c r="AX57" s="38"/>
      <c r="AY57" s="38"/>
      <c r="AZ57" s="38"/>
      <c r="BA57" s="38"/>
      <c r="BB57" s="38"/>
      <c r="BC57" s="38"/>
      <c r="BD57" s="38"/>
    </row>
    <row r="58" spans="1:56" ht="18" hidden="1" customHeight="1">
      <c r="A58" s="139"/>
      <c r="B58" s="142"/>
      <c r="C58" s="101"/>
      <c r="D58" s="101"/>
      <c r="E58" s="102"/>
      <c r="F58" s="104"/>
      <c r="G58" s="94"/>
      <c r="H58" s="94"/>
      <c r="I58" s="94"/>
      <c r="J58" s="94"/>
      <c r="K58" s="94"/>
      <c r="L58" s="94"/>
      <c r="M58" s="94"/>
      <c r="N58" s="94"/>
      <c r="O58" s="94"/>
      <c r="P58" s="152"/>
      <c r="Q58" s="140"/>
      <c r="R58" s="153"/>
      <c r="S58" s="157"/>
      <c r="T58" s="94"/>
      <c r="U58" s="94"/>
      <c r="V58" s="94"/>
      <c r="W58" s="94"/>
      <c r="X58" s="94"/>
      <c r="Y58" s="94"/>
      <c r="Z58" s="94"/>
      <c r="AA58" s="94"/>
      <c r="AB58" s="94"/>
      <c r="AC58" s="152"/>
      <c r="AD58" s="140"/>
      <c r="AE58" s="153"/>
      <c r="AF58" s="158"/>
      <c r="AG58" s="140"/>
      <c r="AH58" s="153"/>
      <c r="AI58" s="156"/>
      <c r="AJ58" s="141"/>
      <c r="AL58" s="40"/>
      <c r="AO58" s="38"/>
      <c r="AP58" s="38"/>
      <c r="AQ58" s="38"/>
      <c r="AR58" s="38"/>
      <c r="AS58" s="38"/>
      <c r="AT58" s="38"/>
      <c r="AU58" s="38"/>
      <c r="AV58" s="38"/>
      <c r="AW58" s="38"/>
      <c r="AX58" s="38"/>
      <c r="AY58" s="38"/>
      <c r="AZ58" s="38"/>
      <c r="BA58" s="38"/>
      <c r="BB58" s="38"/>
      <c r="BC58" s="38"/>
      <c r="BD58" s="38"/>
    </row>
    <row r="59" spans="1:56" ht="18" hidden="1" customHeight="1">
      <c r="A59" s="139"/>
      <c r="B59" s="128"/>
      <c r="C59" s="101"/>
      <c r="D59" s="101"/>
      <c r="E59" s="102"/>
      <c r="F59" s="104"/>
      <c r="G59" s="94"/>
      <c r="H59" s="94"/>
      <c r="I59" s="94"/>
      <c r="J59" s="94"/>
      <c r="K59" s="94"/>
      <c r="L59" s="94"/>
      <c r="M59" s="94"/>
      <c r="N59" s="94"/>
      <c r="O59" s="94"/>
      <c r="P59" s="152"/>
      <c r="Q59" s="140"/>
      <c r="R59" s="153"/>
      <c r="S59" s="157"/>
      <c r="T59" s="94"/>
      <c r="U59" s="94"/>
      <c r="V59" s="94"/>
      <c r="W59" s="94"/>
      <c r="X59" s="94"/>
      <c r="Y59" s="94"/>
      <c r="Z59" s="94"/>
      <c r="AA59" s="94"/>
      <c r="AB59" s="94"/>
      <c r="AC59" s="152"/>
      <c r="AD59" s="140"/>
      <c r="AE59" s="153"/>
      <c r="AF59" s="158"/>
      <c r="AG59" s="140"/>
      <c r="AH59" s="153"/>
      <c r="AI59" s="156"/>
      <c r="AJ59" s="141"/>
      <c r="AL59" s="40"/>
      <c r="AO59" s="38"/>
      <c r="AP59" s="38"/>
      <c r="AQ59" s="38"/>
      <c r="AR59" s="38"/>
      <c r="AS59" s="38"/>
      <c r="AT59" s="38"/>
      <c r="AU59" s="38"/>
      <c r="AV59" s="38"/>
      <c r="AW59" s="38"/>
      <c r="AX59" s="38"/>
      <c r="AY59" s="38"/>
      <c r="AZ59" s="38"/>
      <c r="BA59" s="38"/>
      <c r="BB59" s="38"/>
      <c r="BC59" s="38"/>
      <c r="BD59" s="38"/>
    </row>
    <row r="60" spans="1:56" ht="18" hidden="1" customHeight="1">
      <c r="A60" s="139"/>
      <c r="B60" s="128"/>
      <c r="C60" s="101"/>
      <c r="D60" s="101"/>
      <c r="E60" s="102"/>
      <c r="F60" s="104"/>
      <c r="G60" s="94"/>
      <c r="H60" s="94"/>
      <c r="I60" s="94"/>
      <c r="J60" s="94"/>
      <c r="K60" s="94"/>
      <c r="L60" s="94"/>
      <c r="M60" s="94"/>
      <c r="N60" s="94"/>
      <c r="O60" s="94"/>
      <c r="P60" s="152"/>
      <c r="Q60" s="140"/>
      <c r="R60" s="153"/>
      <c r="S60" s="157"/>
      <c r="T60" s="94"/>
      <c r="U60" s="94"/>
      <c r="V60" s="94"/>
      <c r="W60" s="94"/>
      <c r="X60" s="94"/>
      <c r="Y60" s="94"/>
      <c r="Z60" s="94"/>
      <c r="AA60" s="94"/>
      <c r="AB60" s="94"/>
      <c r="AC60" s="152"/>
      <c r="AD60" s="140"/>
      <c r="AE60" s="153"/>
      <c r="AF60" s="158"/>
      <c r="AG60" s="140"/>
      <c r="AH60" s="153"/>
      <c r="AI60" s="156"/>
      <c r="AJ60" s="141"/>
      <c r="AL60" s="40"/>
      <c r="AO60" s="38"/>
      <c r="AP60" s="38"/>
      <c r="AQ60" s="38"/>
      <c r="AR60" s="38"/>
      <c r="AS60" s="38"/>
      <c r="AT60" s="38"/>
      <c r="AU60" s="38"/>
      <c r="AV60" s="38"/>
      <c r="AW60" s="38"/>
      <c r="AX60" s="38"/>
      <c r="AY60" s="38"/>
      <c r="AZ60" s="38"/>
      <c r="BA60" s="38"/>
      <c r="BB60" s="38"/>
      <c r="BC60" s="38"/>
      <c r="BD60" s="38"/>
    </row>
    <row r="61" spans="1:56" ht="18" hidden="1" customHeight="1">
      <c r="A61" s="139"/>
      <c r="B61" s="142"/>
      <c r="C61" s="101"/>
      <c r="D61" s="101"/>
      <c r="E61" s="102"/>
      <c r="F61" s="104"/>
      <c r="G61" s="94"/>
      <c r="H61" s="94"/>
      <c r="I61" s="94"/>
      <c r="J61" s="94"/>
      <c r="K61" s="94"/>
      <c r="L61" s="94"/>
      <c r="M61" s="94"/>
      <c r="N61" s="94"/>
      <c r="O61" s="94"/>
      <c r="P61" s="152"/>
      <c r="Q61" s="140"/>
      <c r="R61" s="153"/>
      <c r="S61" s="157"/>
      <c r="T61" s="94"/>
      <c r="U61" s="94"/>
      <c r="V61" s="94"/>
      <c r="W61" s="94"/>
      <c r="X61" s="94"/>
      <c r="Y61" s="94"/>
      <c r="Z61" s="94"/>
      <c r="AA61" s="94"/>
      <c r="AB61" s="94"/>
      <c r="AC61" s="152"/>
      <c r="AD61" s="140"/>
      <c r="AE61" s="153"/>
      <c r="AF61" s="158"/>
      <c r="AG61" s="140"/>
      <c r="AH61" s="153"/>
      <c r="AI61" s="156"/>
      <c r="AJ61" s="141"/>
      <c r="AL61" s="40"/>
      <c r="AO61" s="38"/>
      <c r="AP61" s="38"/>
      <c r="AQ61" s="38"/>
      <c r="AR61" s="38"/>
      <c r="AS61" s="38"/>
      <c r="AT61" s="38"/>
      <c r="AU61" s="38"/>
      <c r="AV61" s="38"/>
      <c r="AW61" s="38"/>
      <c r="AX61" s="38"/>
      <c r="AY61" s="38"/>
      <c r="AZ61" s="38"/>
      <c r="BA61" s="38"/>
      <c r="BB61" s="38"/>
      <c r="BC61" s="38"/>
      <c r="BD61" s="38"/>
    </row>
    <row r="62" spans="1:56" ht="18" hidden="1" customHeight="1">
      <c r="A62" s="139">
        <v>47</v>
      </c>
      <c r="B62" s="142" t="e">
        <f>#REF!</f>
        <v>#REF!</v>
      </c>
      <c r="C62" s="101"/>
      <c r="D62" s="101"/>
      <c r="E62" s="102"/>
      <c r="F62" s="104"/>
      <c r="G62" s="94"/>
      <c r="H62" s="94"/>
      <c r="I62" s="94"/>
      <c r="J62" s="94"/>
      <c r="K62" s="94"/>
      <c r="L62" s="94"/>
      <c r="M62" s="94"/>
      <c r="N62" s="94"/>
      <c r="O62" s="94"/>
      <c r="P62" s="152" t="str">
        <f t="shared" si="10"/>
        <v/>
      </c>
      <c r="Q62" s="140" t="str">
        <f t="shared" si="11"/>
        <v/>
      </c>
      <c r="R62" s="153" t="str">
        <f t="shared" si="12"/>
        <v/>
      </c>
      <c r="S62" s="157"/>
      <c r="T62" s="94"/>
      <c r="U62" s="94"/>
      <c r="V62" s="94"/>
      <c r="W62" s="94"/>
      <c r="X62" s="94"/>
      <c r="Y62" s="94"/>
      <c r="Z62" s="94"/>
      <c r="AA62" s="94"/>
      <c r="AB62" s="94"/>
      <c r="AC62" s="152" t="str">
        <f t="shared" si="5"/>
        <v/>
      </c>
      <c r="AD62" s="140" t="str">
        <f t="shared" si="9"/>
        <v/>
      </c>
      <c r="AE62" s="153" t="str">
        <f t="shared" si="6"/>
        <v/>
      </c>
      <c r="AF62" s="158"/>
      <c r="AG62" s="140" t="str">
        <f t="shared" si="7"/>
        <v/>
      </c>
      <c r="AH62" s="153" t="str">
        <f t="shared" si="8"/>
        <v/>
      </c>
      <c r="AI62" s="156" t="str">
        <f t="shared" si="14"/>
        <v/>
      </c>
      <c r="AJ62" s="141" t="str">
        <f t="shared" si="13"/>
        <v/>
      </c>
      <c r="AL62" s="40"/>
      <c r="AO62" s="38"/>
      <c r="AP62" s="38"/>
      <c r="AQ62" s="38"/>
      <c r="AR62" s="38"/>
      <c r="AS62" s="38"/>
      <c r="AT62" s="38"/>
      <c r="AU62" s="38"/>
      <c r="AV62" s="38"/>
      <c r="AW62" s="38"/>
      <c r="AX62" s="38"/>
      <c r="AY62" s="38"/>
      <c r="AZ62" s="38"/>
      <c r="BA62" s="38"/>
      <c r="BB62" s="38"/>
      <c r="BC62" s="38"/>
      <c r="BD62" s="38"/>
    </row>
    <row r="63" spans="1:56" ht="18" hidden="1" customHeight="1">
      <c r="A63" s="139">
        <v>48</v>
      </c>
      <c r="B63" s="128" t="e">
        <f>#REF!</f>
        <v>#REF!</v>
      </c>
      <c r="C63" s="101"/>
      <c r="D63" s="101"/>
      <c r="E63" s="102"/>
      <c r="F63" s="104"/>
      <c r="G63" s="94"/>
      <c r="H63" s="94"/>
      <c r="I63" s="94"/>
      <c r="J63" s="94"/>
      <c r="K63" s="94"/>
      <c r="L63" s="94"/>
      <c r="M63" s="94"/>
      <c r="N63" s="94"/>
      <c r="O63" s="94"/>
      <c r="P63" s="152" t="str">
        <f t="shared" si="10"/>
        <v/>
      </c>
      <c r="Q63" s="140" t="str">
        <f t="shared" si="11"/>
        <v/>
      </c>
      <c r="R63" s="153" t="str">
        <f t="shared" si="12"/>
        <v/>
      </c>
      <c r="S63" s="157"/>
      <c r="T63" s="94"/>
      <c r="U63" s="94"/>
      <c r="V63" s="94"/>
      <c r="W63" s="94"/>
      <c r="X63" s="94"/>
      <c r="Y63" s="94"/>
      <c r="Z63" s="94"/>
      <c r="AA63" s="94"/>
      <c r="AB63" s="94"/>
      <c r="AC63" s="152" t="str">
        <f t="shared" si="5"/>
        <v/>
      </c>
      <c r="AD63" s="140" t="str">
        <f t="shared" si="9"/>
        <v/>
      </c>
      <c r="AE63" s="153" t="str">
        <f t="shared" si="6"/>
        <v/>
      </c>
      <c r="AF63" s="158"/>
      <c r="AG63" s="140" t="str">
        <f t="shared" si="7"/>
        <v/>
      </c>
      <c r="AH63" s="153" t="str">
        <f t="shared" si="8"/>
        <v/>
      </c>
      <c r="AI63" s="156" t="str">
        <f t="shared" si="14"/>
        <v/>
      </c>
      <c r="AJ63" s="141" t="str">
        <f t="shared" si="13"/>
        <v/>
      </c>
      <c r="AL63" s="40"/>
      <c r="AO63" s="38"/>
      <c r="AP63" s="38"/>
      <c r="AQ63" s="38"/>
      <c r="AR63" s="38"/>
      <c r="AS63" s="38"/>
      <c r="AT63" s="38"/>
      <c r="AU63" s="38"/>
      <c r="AV63" s="38"/>
      <c r="AW63" s="38"/>
      <c r="AX63" s="38"/>
      <c r="AY63" s="38"/>
      <c r="AZ63" s="38"/>
      <c r="BA63" s="38"/>
      <c r="BB63" s="38"/>
      <c r="BC63" s="38"/>
      <c r="BD63" s="38"/>
    </row>
    <row r="64" spans="1:56" ht="18" hidden="1" customHeight="1">
      <c r="A64" s="139">
        <v>49</v>
      </c>
      <c r="B64" s="128" t="e">
        <f>#REF!</f>
        <v>#REF!</v>
      </c>
      <c r="C64" s="101"/>
      <c r="D64" s="101"/>
      <c r="E64" s="102"/>
      <c r="F64" s="104"/>
      <c r="G64" s="94"/>
      <c r="H64" s="94"/>
      <c r="I64" s="94"/>
      <c r="J64" s="94"/>
      <c r="K64" s="94"/>
      <c r="L64" s="94"/>
      <c r="M64" s="94"/>
      <c r="N64" s="94"/>
      <c r="O64" s="94"/>
      <c r="P64" s="152" t="str">
        <f t="shared" si="10"/>
        <v/>
      </c>
      <c r="Q64" s="140" t="str">
        <f t="shared" si="11"/>
        <v/>
      </c>
      <c r="R64" s="153" t="str">
        <f t="shared" si="12"/>
        <v/>
      </c>
      <c r="S64" s="157"/>
      <c r="T64" s="94"/>
      <c r="U64" s="94"/>
      <c r="V64" s="94"/>
      <c r="W64" s="94"/>
      <c r="X64" s="94"/>
      <c r="Y64" s="94"/>
      <c r="Z64" s="94"/>
      <c r="AA64" s="94"/>
      <c r="AB64" s="94"/>
      <c r="AC64" s="152" t="str">
        <f t="shared" si="5"/>
        <v/>
      </c>
      <c r="AD64" s="140" t="str">
        <f t="shared" si="9"/>
        <v/>
      </c>
      <c r="AE64" s="153" t="str">
        <f t="shared" si="6"/>
        <v/>
      </c>
      <c r="AF64" s="158"/>
      <c r="AG64" s="140" t="str">
        <f t="shared" si="7"/>
        <v/>
      </c>
      <c r="AH64" s="153" t="str">
        <f t="shared" si="8"/>
        <v/>
      </c>
      <c r="AI64" s="156" t="str">
        <f t="shared" si="14"/>
        <v/>
      </c>
      <c r="AJ64" s="141" t="str">
        <f t="shared" si="13"/>
        <v/>
      </c>
      <c r="AL64" s="40"/>
      <c r="AO64" s="38"/>
      <c r="AP64" s="38"/>
      <c r="AQ64" s="38"/>
      <c r="AR64" s="38"/>
      <c r="AS64" s="38"/>
      <c r="AT64" s="38"/>
      <c r="AU64" s="38"/>
      <c r="AV64" s="38"/>
      <c r="AW64" s="38"/>
      <c r="AX64" s="38"/>
      <c r="AY64" s="38"/>
      <c r="AZ64" s="38"/>
      <c r="BA64" s="38"/>
      <c r="BB64" s="38"/>
      <c r="BC64" s="38"/>
      <c r="BD64" s="38"/>
    </row>
    <row r="65" spans="1:56" ht="18" hidden="1" customHeight="1" thickBot="1">
      <c r="A65" s="159">
        <v>50</v>
      </c>
      <c r="B65" s="160" t="e">
        <f>#REF!</f>
        <v>#REF!</v>
      </c>
      <c r="C65" s="110"/>
      <c r="D65" s="110"/>
      <c r="E65" s="111"/>
      <c r="F65" s="95"/>
      <c r="G65" s="114"/>
      <c r="H65" s="114"/>
      <c r="I65" s="114"/>
      <c r="J65" s="114"/>
      <c r="K65" s="114"/>
      <c r="L65" s="114"/>
      <c r="M65" s="114"/>
      <c r="N65" s="114"/>
      <c r="O65" s="114"/>
      <c r="P65" s="161" t="str">
        <f t="shared" si="10"/>
        <v/>
      </c>
      <c r="Q65" s="162" t="str">
        <f t="shared" si="11"/>
        <v/>
      </c>
      <c r="R65" s="163" t="str">
        <f t="shared" si="12"/>
        <v/>
      </c>
      <c r="S65" s="164"/>
      <c r="T65" s="114"/>
      <c r="U65" s="114"/>
      <c r="V65" s="114"/>
      <c r="W65" s="114"/>
      <c r="X65" s="114"/>
      <c r="Y65" s="114"/>
      <c r="Z65" s="114"/>
      <c r="AA65" s="114"/>
      <c r="AB65" s="114"/>
      <c r="AC65" s="161" t="str">
        <f t="shared" si="5"/>
        <v/>
      </c>
      <c r="AD65" s="162" t="str">
        <f t="shared" si="9"/>
        <v/>
      </c>
      <c r="AE65" s="163" t="str">
        <f t="shared" si="6"/>
        <v/>
      </c>
      <c r="AF65" s="165"/>
      <c r="AG65" s="162" t="str">
        <f t="shared" si="7"/>
        <v/>
      </c>
      <c r="AH65" s="163" t="str">
        <f t="shared" si="8"/>
        <v/>
      </c>
      <c r="AI65" s="166" t="str">
        <f t="shared" si="14"/>
        <v/>
      </c>
      <c r="AJ65" s="167" t="str">
        <f t="shared" si="13"/>
        <v/>
      </c>
      <c r="AL65" s="40"/>
      <c r="AO65" s="38"/>
      <c r="AP65" s="38"/>
      <c r="AQ65" s="38"/>
      <c r="AR65" s="38"/>
      <c r="AS65" s="38"/>
      <c r="AT65" s="38"/>
      <c r="AU65" s="38"/>
      <c r="AV65" s="38"/>
      <c r="AW65" s="38"/>
      <c r="AX65" s="38"/>
      <c r="AY65" s="38"/>
      <c r="AZ65" s="38"/>
      <c r="BA65" s="38"/>
      <c r="BB65" s="38"/>
      <c r="BC65" s="38"/>
      <c r="BD65" s="38"/>
    </row>
    <row r="66" spans="1:56" ht="18" hidden="1" customHeight="1" thickBot="1">
      <c r="A66" s="168"/>
      <c r="B66" s="194" t="s">
        <v>122</v>
      </c>
      <c r="C66" s="195"/>
      <c r="D66" s="195"/>
      <c r="E66" s="196"/>
      <c r="F66" s="169"/>
      <c r="G66" s="170"/>
      <c r="H66" s="170"/>
      <c r="I66" s="170"/>
      <c r="J66" s="170"/>
      <c r="K66" s="170"/>
      <c r="L66" s="170"/>
      <c r="M66" s="170"/>
      <c r="N66" s="170"/>
      <c r="O66" s="170"/>
      <c r="P66" s="171"/>
      <c r="Q66" s="171"/>
      <c r="R66" s="171"/>
      <c r="S66" s="172"/>
      <c r="T66" s="170"/>
      <c r="U66" s="170"/>
      <c r="V66" s="170"/>
      <c r="W66" s="170"/>
      <c r="X66" s="170"/>
      <c r="Y66" s="170"/>
      <c r="Z66" s="170"/>
      <c r="AA66" s="170"/>
      <c r="AB66" s="170"/>
      <c r="AC66" s="171"/>
      <c r="AD66" s="171"/>
      <c r="AE66" s="173"/>
      <c r="AF66" s="174"/>
      <c r="AG66" s="175"/>
      <c r="AH66" s="176"/>
      <c r="AI66" s="177"/>
      <c r="AJ66" s="178"/>
      <c r="AL66" s="40"/>
      <c r="AO66" s="38"/>
      <c r="AP66" s="38"/>
      <c r="AQ66" s="38"/>
      <c r="AR66" s="38"/>
      <c r="AS66" s="38"/>
      <c r="AT66" s="38"/>
      <c r="AU66" s="38"/>
      <c r="AV66" s="38"/>
      <c r="AW66" s="38"/>
      <c r="AX66" s="38"/>
      <c r="AY66" s="38"/>
      <c r="AZ66" s="38"/>
      <c r="BA66" s="38"/>
      <c r="BB66" s="38"/>
      <c r="BC66" s="38"/>
      <c r="BD66" s="38"/>
    </row>
    <row r="67" spans="1:56" ht="18" hidden="1" customHeight="1">
      <c r="A67" s="127">
        <v>1</v>
      </c>
      <c r="B67" s="128" t="e">
        <f>#REF!</f>
        <v>#REF!</v>
      </c>
      <c r="C67" s="129"/>
      <c r="D67" s="129"/>
      <c r="E67" s="179"/>
      <c r="F67" s="92"/>
      <c r="G67" s="93"/>
      <c r="H67" s="93"/>
      <c r="I67" s="93"/>
      <c r="J67" s="93"/>
      <c r="K67" s="93"/>
      <c r="L67" s="93"/>
      <c r="M67" s="93"/>
      <c r="N67" s="93"/>
      <c r="O67" s="93"/>
      <c r="P67" s="152" t="str">
        <f t="shared" si="10"/>
        <v/>
      </c>
      <c r="Q67" s="140" t="str">
        <f t="shared" si="11"/>
        <v/>
      </c>
      <c r="R67" s="153" t="str">
        <f t="shared" si="12"/>
        <v/>
      </c>
      <c r="S67" s="154"/>
      <c r="T67" s="93"/>
      <c r="U67" s="93"/>
      <c r="V67" s="93"/>
      <c r="W67" s="93"/>
      <c r="X67" s="93"/>
      <c r="Y67" s="93"/>
      <c r="Z67" s="93"/>
      <c r="AA67" s="93"/>
      <c r="AB67" s="93"/>
      <c r="AC67" s="152" t="str">
        <f t="shared" si="5"/>
        <v/>
      </c>
      <c r="AD67" s="140" t="str">
        <f t="shared" si="9"/>
        <v/>
      </c>
      <c r="AE67" s="153" t="str">
        <f t="shared" si="6"/>
        <v/>
      </c>
      <c r="AF67" s="155"/>
      <c r="AG67" s="140" t="str">
        <f t="shared" si="7"/>
        <v/>
      </c>
      <c r="AH67" s="153" t="str">
        <f t="shared" si="8"/>
        <v/>
      </c>
      <c r="AI67" s="156" t="str">
        <f t="shared" si="14"/>
        <v/>
      </c>
      <c r="AJ67" s="141" t="str">
        <f t="shared" si="13"/>
        <v/>
      </c>
      <c r="AL67" s="40"/>
      <c r="AO67" s="38"/>
      <c r="AP67" s="38"/>
      <c r="AQ67" s="38"/>
      <c r="AR67" s="38"/>
      <c r="AS67" s="38"/>
      <c r="AT67" s="38"/>
      <c r="AU67" s="38"/>
      <c r="AV67" s="38"/>
      <c r="AW67" s="38"/>
      <c r="AX67" s="38"/>
      <c r="AY67" s="38"/>
      <c r="AZ67" s="38"/>
      <c r="BA67" s="38"/>
      <c r="BB67" s="38"/>
      <c r="BC67" s="38"/>
      <c r="BD67" s="38"/>
    </row>
    <row r="68" spans="1:56" ht="18" hidden="1" customHeight="1">
      <c r="A68" s="139">
        <v>2</v>
      </c>
      <c r="B68" s="142" t="e">
        <f>#REF!</f>
        <v>#REF!</v>
      </c>
      <c r="C68" s="101"/>
      <c r="D68" s="101"/>
      <c r="E68" s="102"/>
      <c r="F68" s="104"/>
      <c r="G68" s="94"/>
      <c r="H68" s="94"/>
      <c r="I68" s="94"/>
      <c r="J68" s="94"/>
      <c r="K68" s="94"/>
      <c r="L68" s="94"/>
      <c r="M68" s="94"/>
      <c r="N68" s="94"/>
      <c r="O68" s="94"/>
      <c r="P68" s="152" t="str">
        <f t="shared" si="10"/>
        <v/>
      </c>
      <c r="Q68" s="140" t="str">
        <f t="shared" si="11"/>
        <v/>
      </c>
      <c r="R68" s="153" t="str">
        <f t="shared" si="12"/>
        <v/>
      </c>
      <c r="S68" s="157"/>
      <c r="T68" s="94"/>
      <c r="U68" s="94"/>
      <c r="V68" s="94"/>
      <c r="W68" s="94"/>
      <c r="X68" s="94"/>
      <c r="Y68" s="94"/>
      <c r="Z68" s="94"/>
      <c r="AA68" s="94"/>
      <c r="AB68" s="94"/>
      <c r="AC68" s="152" t="str">
        <f t="shared" si="5"/>
        <v/>
      </c>
      <c r="AD68" s="140" t="str">
        <f t="shared" si="9"/>
        <v/>
      </c>
      <c r="AE68" s="153" t="str">
        <f t="shared" si="6"/>
        <v/>
      </c>
      <c r="AF68" s="158"/>
      <c r="AG68" s="140" t="str">
        <f t="shared" si="7"/>
        <v/>
      </c>
      <c r="AH68" s="153" t="str">
        <f t="shared" si="8"/>
        <v/>
      </c>
      <c r="AI68" s="156" t="str">
        <f t="shared" si="14"/>
        <v/>
      </c>
      <c r="AJ68" s="141" t="str">
        <f t="shared" si="13"/>
        <v/>
      </c>
      <c r="AL68" s="40"/>
      <c r="AO68" s="38"/>
      <c r="AP68" s="38"/>
      <c r="AQ68" s="38"/>
      <c r="AR68" s="38"/>
      <c r="AS68" s="38"/>
      <c r="AT68" s="38"/>
      <c r="AU68" s="38"/>
      <c r="AV68" s="38"/>
      <c r="AW68" s="38"/>
      <c r="AX68" s="38"/>
      <c r="AY68" s="38"/>
      <c r="AZ68" s="38"/>
      <c r="BA68" s="38"/>
      <c r="BB68" s="38"/>
      <c r="BC68" s="38"/>
      <c r="BD68" s="38"/>
    </row>
    <row r="69" spans="1:56" ht="18" hidden="1" customHeight="1">
      <c r="A69" s="139">
        <v>3</v>
      </c>
      <c r="B69" s="142" t="e">
        <f>#REF!</f>
        <v>#REF!</v>
      </c>
      <c r="C69" s="101"/>
      <c r="D69" s="101"/>
      <c r="E69" s="102"/>
      <c r="F69" s="104"/>
      <c r="G69" s="94"/>
      <c r="H69" s="94"/>
      <c r="I69" s="94"/>
      <c r="J69" s="94"/>
      <c r="K69" s="94"/>
      <c r="L69" s="94"/>
      <c r="M69" s="94"/>
      <c r="N69" s="94"/>
      <c r="O69" s="94"/>
      <c r="P69" s="152" t="str">
        <f t="shared" si="10"/>
        <v/>
      </c>
      <c r="Q69" s="140" t="str">
        <f t="shared" si="11"/>
        <v/>
      </c>
      <c r="R69" s="153" t="str">
        <f t="shared" si="12"/>
        <v/>
      </c>
      <c r="S69" s="157"/>
      <c r="T69" s="94"/>
      <c r="U69" s="94"/>
      <c r="V69" s="94"/>
      <c r="W69" s="94"/>
      <c r="X69" s="94"/>
      <c r="Y69" s="94"/>
      <c r="Z69" s="94"/>
      <c r="AA69" s="94"/>
      <c r="AB69" s="94"/>
      <c r="AC69" s="152" t="str">
        <f t="shared" si="5"/>
        <v/>
      </c>
      <c r="AD69" s="140" t="str">
        <f t="shared" si="9"/>
        <v/>
      </c>
      <c r="AE69" s="153" t="str">
        <f t="shared" si="6"/>
        <v/>
      </c>
      <c r="AF69" s="158"/>
      <c r="AG69" s="140" t="str">
        <f t="shared" si="7"/>
        <v/>
      </c>
      <c r="AH69" s="153" t="str">
        <f t="shared" si="8"/>
        <v/>
      </c>
      <c r="AI69" s="156" t="str">
        <f t="shared" si="14"/>
        <v/>
      </c>
      <c r="AJ69" s="141" t="str">
        <f t="shared" si="13"/>
        <v/>
      </c>
      <c r="AL69" s="40"/>
      <c r="AO69" s="38"/>
      <c r="AP69" s="38"/>
      <c r="AQ69" s="38"/>
      <c r="AR69" s="38"/>
      <c r="AS69" s="38"/>
      <c r="AT69" s="38"/>
      <c r="AU69" s="38"/>
      <c r="AV69" s="38"/>
      <c r="AW69" s="38"/>
      <c r="AX69" s="38"/>
      <c r="AY69" s="38"/>
      <c r="AZ69" s="38"/>
      <c r="BA69" s="38"/>
      <c r="BB69" s="38"/>
      <c r="BC69" s="38"/>
      <c r="BD69" s="38"/>
    </row>
    <row r="70" spans="1:56" ht="18" hidden="1" customHeight="1">
      <c r="A70" s="139">
        <v>4</v>
      </c>
      <c r="B70" s="128" t="e">
        <f>#REF!</f>
        <v>#REF!</v>
      </c>
      <c r="C70" s="101"/>
      <c r="D70" s="101"/>
      <c r="E70" s="102"/>
      <c r="F70" s="104"/>
      <c r="G70" s="94"/>
      <c r="H70" s="94"/>
      <c r="I70" s="94"/>
      <c r="J70" s="94"/>
      <c r="K70" s="94"/>
      <c r="L70" s="94"/>
      <c r="M70" s="94"/>
      <c r="N70" s="94"/>
      <c r="O70" s="94"/>
      <c r="P70" s="152" t="str">
        <f t="shared" si="10"/>
        <v/>
      </c>
      <c r="Q70" s="140" t="str">
        <f t="shared" si="11"/>
        <v/>
      </c>
      <c r="R70" s="153" t="str">
        <f t="shared" si="12"/>
        <v/>
      </c>
      <c r="S70" s="157"/>
      <c r="T70" s="94"/>
      <c r="U70" s="94"/>
      <c r="V70" s="94"/>
      <c r="W70" s="94"/>
      <c r="X70" s="94"/>
      <c r="Y70" s="94"/>
      <c r="Z70" s="94"/>
      <c r="AA70" s="94"/>
      <c r="AB70" s="94"/>
      <c r="AC70" s="152" t="str">
        <f t="shared" si="5"/>
        <v/>
      </c>
      <c r="AD70" s="140" t="str">
        <f t="shared" si="9"/>
        <v/>
      </c>
      <c r="AE70" s="153" t="str">
        <f t="shared" si="6"/>
        <v/>
      </c>
      <c r="AF70" s="158"/>
      <c r="AG70" s="140" t="str">
        <f t="shared" si="7"/>
        <v/>
      </c>
      <c r="AH70" s="153" t="str">
        <f t="shared" si="8"/>
        <v/>
      </c>
      <c r="AI70" s="156" t="str">
        <f t="shared" si="14"/>
        <v/>
      </c>
      <c r="AJ70" s="141" t="str">
        <f t="shared" si="13"/>
        <v/>
      </c>
      <c r="AL70" s="40"/>
      <c r="AO70" s="38"/>
      <c r="AP70" s="38"/>
      <c r="AQ70" s="38"/>
      <c r="AR70" s="38"/>
      <c r="AS70" s="38"/>
      <c r="AT70" s="38"/>
      <c r="AU70" s="38"/>
      <c r="AV70" s="38"/>
      <c r="AW70" s="38"/>
      <c r="AX70" s="38"/>
      <c r="AY70" s="38"/>
      <c r="AZ70" s="38"/>
      <c r="BA70" s="38"/>
      <c r="BB70" s="38"/>
      <c r="BC70" s="38"/>
      <c r="BD70" s="38"/>
    </row>
    <row r="71" spans="1:56" ht="18" hidden="1" customHeight="1">
      <c r="A71" s="139">
        <v>5</v>
      </c>
      <c r="B71" s="128" t="e">
        <f>#REF!</f>
        <v>#REF!</v>
      </c>
      <c r="C71" s="101"/>
      <c r="D71" s="101"/>
      <c r="E71" s="102"/>
      <c r="F71" s="104"/>
      <c r="G71" s="94"/>
      <c r="H71" s="94"/>
      <c r="I71" s="94"/>
      <c r="J71" s="94"/>
      <c r="K71" s="94"/>
      <c r="L71" s="94"/>
      <c r="M71" s="94"/>
      <c r="N71" s="94"/>
      <c r="O71" s="94"/>
      <c r="P71" s="152" t="str">
        <f t="shared" si="10"/>
        <v/>
      </c>
      <c r="Q71" s="140" t="str">
        <f t="shared" si="11"/>
        <v/>
      </c>
      <c r="R71" s="153" t="str">
        <f t="shared" si="12"/>
        <v/>
      </c>
      <c r="S71" s="157"/>
      <c r="T71" s="94"/>
      <c r="U71" s="94"/>
      <c r="V71" s="94"/>
      <c r="W71" s="94"/>
      <c r="X71" s="94"/>
      <c r="Y71" s="94"/>
      <c r="Z71" s="94"/>
      <c r="AA71" s="94"/>
      <c r="AB71" s="94"/>
      <c r="AC71" s="152" t="str">
        <f t="shared" si="5"/>
        <v/>
      </c>
      <c r="AD71" s="140" t="str">
        <f t="shared" si="9"/>
        <v/>
      </c>
      <c r="AE71" s="153" t="str">
        <f t="shared" si="6"/>
        <v/>
      </c>
      <c r="AF71" s="158"/>
      <c r="AG71" s="140" t="str">
        <f t="shared" si="7"/>
        <v/>
      </c>
      <c r="AH71" s="153" t="str">
        <f t="shared" si="8"/>
        <v/>
      </c>
      <c r="AI71" s="156" t="str">
        <f t="shared" si="14"/>
        <v/>
      </c>
      <c r="AJ71" s="141" t="str">
        <f t="shared" si="13"/>
        <v/>
      </c>
      <c r="AL71" s="40"/>
      <c r="AO71" s="38"/>
      <c r="AP71" s="38"/>
      <c r="AQ71" s="38"/>
      <c r="AR71" s="38"/>
      <c r="AS71" s="38"/>
      <c r="AT71" s="38"/>
      <c r="AU71" s="38"/>
      <c r="AV71" s="38"/>
      <c r="AW71" s="38"/>
      <c r="AX71" s="38"/>
      <c r="AY71" s="38"/>
      <c r="AZ71" s="38"/>
      <c r="BA71" s="38"/>
      <c r="BB71" s="38"/>
      <c r="BC71" s="38"/>
      <c r="BD71" s="38"/>
    </row>
    <row r="72" spans="1:56" ht="18" hidden="1" customHeight="1">
      <c r="A72" s="139">
        <v>6</v>
      </c>
      <c r="B72" s="142" t="e">
        <f>#REF!</f>
        <v>#REF!</v>
      </c>
      <c r="C72" s="101"/>
      <c r="D72" s="101"/>
      <c r="E72" s="102"/>
      <c r="F72" s="104"/>
      <c r="G72" s="94"/>
      <c r="H72" s="94"/>
      <c r="I72" s="94"/>
      <c r="J72" s="94"/>
      <c r="K72" s="94"/>
      <c r="L72" s="94"/>
      <c r="M72" s="94"/>
      <c r="N72" s="94"/>
      <c r="O72" s="94"/>
      <c r="P72" s="152" t="str">
        <f t="shared" si="10"/>
        <v/>
      </c>
      <c r="Q72" s="140" t="str">
        <f t="shared" si="11"/>
        <v/>
      </c>
      <c r="R72" s="153" t="str">
        <f t="shared" si="12"/>
        <v/>
      </c>
      <c r="S72" s="157"/>
      <c r="T72" s="94"/>
      <c r="U72" s="94"/>
      <c r="V72" s="94"/>
      <c r="W72" s="94"/>
      <c r="X72" s="94"/>
      <c r="Y72" s="94"/>
      <c r="Z72" s="94"/>
      <c r="AA72" s="94"/>
      <c r="AB72" s="94"/>
      <c r="AC72" s="152" t="str">
        <f t="shared" si="5"/>
        <v/>
      </c>
      <c r="AD72" s="140" t="str">
        <f t="shared" si="9"/>
        <v/>
      </c>
      <c r="AE72" s="153" t="str">
        <f t="shared" si="6"/>
        <v/>
      </c>
      <c r="AF72" s="158"/>
      <c r="AG72" s="140" t="str">
        <f t="shared" si="7"/>
        <v/>
      </c>
      <c r="AH72" s="153" t="str">
        <f t="shared" si="8"/>
        <v/>
      </c>
      <c r="AI72" s="156" t="str">
        <f t="shared" si="14"/>
        <v/>
      </c>
      <c r="AJ72" s="141" t="str">
        <f t="shared" si="13"/>
        <v/>
      </c>
      <c r="AL72" s="40"/>
      <c r="AO72" s="38"/>
      <c r="AP72" s="38"/>
      <c r="AQ72" s="38"/>
      <c r="AR72" s="38"/>
      <c r="AS72" s="38"/>
      <c r="AT72" s="38"/>
      <c r="AU72" s="38"/>
      <c r="AV72" s="38"/>
      <c r="AW72" s="38"/>
      <c r="AX72" s="38"/>
      <c r="AY72" s="38"/>
      <c r="AZ72" s="38"/>
      <c r="BA72" s="38"/>
      <c r="BB72" s="38"/>
      <c r="BC72" s="38"/>
      <c r="BD72" s="38"/>
    </row>
    <row r="73" spans="1:56" ht="18" hidden="1" customHeight="1">
      <c r="A73" s="139">
        <v>7</v>
      </c>
      <c r="B73" s="142" t="e">
        <f>#REF!</f>
        <v>#REF!</v>
      </c>
      <c r="C73" s="101"/>
      <c r="D73" s="101"/>
      <c r="E73" s="102"/>
      <c r="F73" s="104"/>
      <c r="G73" s="94"/>
      <c r="H73" s="94"/>
      <c r="I73" s="94"/>
      <c r="J73" s="94"/>
      <c r="K73" s="94"/>
      <c r="L73" s="94"/>
      <c r="M73" s="94"/>
      <c r="N73" s="94"/>
      <c r="O73" s="94"/>
      <c r="P73" s="152" t="str">
        <f t="shared" si="10"/>
        <v/>
      </c>
      <c r="Q73" s="140" t="str">
        <f t="shared" si="11"/>
        <v/>
      </c>
      <c r="R73" s="153" t="str">
        <f t="shared" si="12"/>
        <v/>
      </c>
      <c r="S73" s="157"/>
      <c r="T73" s="94"/>
      <c r="U73" s="94"/>
      <c r="V73" s="94"/>
      <c r="W73" s="94"/>
      <c r="X73" s="94"/>
      <c r="Y73" s="94"/>
      <c r="Z73" s="94"/>
      <c r="AA73" s="94"/>
      <c r="AB73" s="94"/>
      <c r="AC73" s="152" t="str">
        <f t="shared" si="5"/>
        <v/>
      </c>
      <c r="AD73" s="140" t="str">
        <f t="shared" si="9"/>
        <v/>
      </c>
      <c r="AE73" s="153" t="str">
        <f t="shared" si="6"/>
        <v/>
      </c>
      <c r="AF73" s="158"/>
      <c r="AG73" s="140" t="str">
        <f t="shared" si="7"/>
        <v/>
      </c>
      <c r="AH73" s="153" t="str">
        <f t="shared" si="8"/>
        <v/>
      </c>
      <c r="AI73" s="156" t="str">
        <f t="shared" si="14"/>
        <v/>
      </c>
      <c r="AJ73" s="141" t="str">
        <f t="shared" si="13"/>
        <v/>
      </c>
      <c r="AL73" s="40"/>
      <c r="AO73" s="38"/>
      <c r="AP73" s="38"/>
      <c r="AQ73" s="38"/>
      <c r="AR73" s="38"/>
      <c r="AS73" s="38"/>
      <c r="AT73" s="38"/>
      <c r="AU73" s="38"/>
      <c r="AV73" s="38"/>
      <c r="AW73" s="38"/>
      <c r="AX73" s="38"/>
      <c r="AY73" s="38"/>
      <c r="AZ73" s="38"/>
      <c r="BA73" s="38"/>
      <c r="BB73" s="38"/>
      <c r="BC73" s="38"/>
      <c r="BD73" s="38"/>
    </row>
    <row r="74" spans="1:56" ht="18" hidden="1" customHeight="1">
      <c r="A74" s="139">
        <v>8</v>
      </c>
      <c r="B74" s="128" t="e">
        <f>#REF!</f>
        <v>#REF!</v>
      </c>
      <c r="C74" s="101"/>
      <c r="D74" s="101"/>
      <c r="E74" s="102"/>
      <c r="F74" s="104"/>
      <c r="G74" s="94"/>
      <c r="H74" s="94"/>
      <c r="I74" s="94"/>
      <c r="J74" s="94"/>
      <c r="K74" s="94"/>
      <c r="L74" s="94"/>
      <c r="M74" s="94"/>
      <c r="N74" s="94"/>
      <c r="O74" s="94"/>
      <c r="P74" s="152" t="str">
        <f t="shared" si="10"/>
        <v/>
      </c>
      <c r="Q74" s="140" t="str">
        <f t="shared" si="11"/>
        <v/>
      </c>
      <c r="R74" s="153" t="str">
        <f t="shared" si="12"/>
        <v/>
      </c>
      <c r="S74" s="157"/>
      <c r="T74" s="94"/>
      <c r="U74" s="94"/>
      <c r="V74" s="94"/>
      <c r="W74" s="94"/>
      <c r="X74" s="94"/>
      <c r="Y74" s="94"/>
      <c r="Z74" s="94"/>
      <c r="AA74" s="94"/>
      <c r="AB74" s="94"/>
      <c r="AC74" s="152" t="str">
        <f t="shared" si="5"/>
        <v/>
      </c>
      <c r="AD74" s="140" t="str">
        <f t="shared" si="9"/>
        <v/>
      </c>
      <c r="AE74" s="153" t="str">
        <f t="shared" si="6"/>
        <v/>
      </c>
      <c r="AF74" s="158"/>
      <c r="AG74" s="140" t="str">
        <f t="shared" si="7"/>
        <v/>
      </c>
      <c r="AH74" s="153" t="str">
        <f t="shared" si="8"/>
        <v/>
      </c>
      <c r="AI74" s="156" t="str">
        <f t="shared" si="14"/>
        <v/>
      </c>
      <c r="AJ74" s="141" t="str">
        <f t="shared" si="13"/>
        <v/>
      </c>
      <c r="AL74" s="40"/>
      <c r="AO74" s="38"/>
      <c r="AP74" s="38"/>
      <c r="AQ74" s="38"/>
      <c r="AR74" s="38"/>
      <c r="AS74" s="38"/>
      <c r="AT74" s="38"/>
      <c r="AU74" s="38"/>
      <c r="AV74" s="38"/>
      <c r="AW74" s="38"/>
      <c r="AX74" s="38"/>
      <c r="AY74" s="38"/>
      <c r="AZ74" s="38"/>
      <c r="BA74" s="38"/>
      <c r="BB74" s="38"/>
      <c r="BC74" s="38"/>
      <c r="BD74" s="38"/>
    </row>
    <row r="75" spans="1:56" ht="18" hidden="1" customHeight="1">
      <c r="A75" s="139">
        <v>9</v>
      </c>
      <c r="B75" s="128" t="e">
        <f>#REF!</f>
        <v>#REF!</v>
      </c>
      <c r="C75" s="101"/>
      <c r="D75" s="101"/>
      <c r="E75" s="102"/>
      <c r="F75" s="104"/>
      <c r="G75" s="94"/>
      <c r="H75" s="94"/>
      <c r="I75" s="94"/>
      <c r="J75" s="94"/>
      <c r="K75" s="94"/>
      <c r="L75" s="94"/>
      <c r="M75" s="94"/>
      <c r="N75" s="94"/>
      <c r="O75" s="94"/>
      <c r="P75" s="152" t="str">
        <f t="shared" si="10"/>
        <v/>
      </c>
      <c r="Q75" s="140" t="str">
        <f t="shared" si="11"/>
        <v/>
      </c>
      <c r="R75" s="153" t="str">
        <f t="shared" si="12"/>
        <v/>
      </c>
      <c r="S75" s="157"/>
      <c r="T75" s="94"/>
      <c r="U75" s="94"/>
      <c r="V75" s="94"/>
      <c r="W75" s="94"/>
      <c r="X75" s="94"/>
      <c r="Y75" s="94"/>
      <c r="Z75" s="94"/>
      <c r="AA75" s="94"/>
      <c r="AB75" s="94"/>
      <c r="AC75" s="152" t="str">
        <f t="shared" si="5"/>
        <v/>
      </c>
      <c r="AD75" s="140" t="str">
        <f t="shared" si="9"/>
        <v/>
      </c>
      <c r="AE75" s="153" t="str">
        <f t="shared" si="6"/>
        <v/>
      </c>
      <c r="AF75" s="158"/>
      <c r="AG75" s="140" t="str">
        <f t="shared" si="7"/>
        <v/>
      </c>
      <c r="AH75" s="153" t="str">
        <f t="shared" si="8"/>
        <v/>
      </c>
      <c r="AI75" s="156" t="str">
        <f t="shared" si="14"/>
        <v/>
      </c>
      <c r="AJ75" s="141" t="str">
        <f t="shared" si="13"/>
        <v/>
      </c>
      <c r="AL75" s="40"/>
      <c r="AO75" s="38"/>
      <c r="AP75" s="38"/>
      <c r="AQ75" s="38"/>
      <c r="AR75" s="38"/>
      <c r="AS75" s="38"/>
      <c r="AT75" s="38"/>
      <c r="AU75" s="38"/>
      <c r="AV75" s="38"/>
      <c r="AW75" s="38"/>
      <c r="AX75" s="38"/>
      <c r="AY75" s="38"/>
      <c r="AZ75" s="38"/>
      <c r="BA75" s="38"/>
      <c r="BB75" s="38"/>
      <c r="BC75" s="38"/>
      <c r="BD75" s="38"/>
    </row>
    <row r="76" spans="1:56" ht="18" hidden="1" customHeight="1">
      <c r="A76" s="139">
        <v>10</v>
      </c>
      <c r="B76" s="142" t="e">
        <f>#REF!</f>
        <v>#REF!</v>
      </c>
      <c r="C76" s="101"/>
      <c r="D76" s="101"/>
      <c r="E76" s="102"/>
      <c r="F76" s="104"/>
      <c r="G76" s="94"/>
      <c r="H76" s="94"/>
      <c r="I76" s="94"/>
      <c r="J76" s="94"/>
      <c r="K76" s="94"/>
      <c r="L76" s="94"/>
      <c r="M76" s="94"/>
      <c r="N76" s="94"/>
      <c r="O76" s="94"/>
      <c r="P76" s="152" t="str">
        <f t="shared" si="10"/>
        <v/>
      </c>
      <c r="Q76" s="140" t="str">
        <f t="shared" si="11"/>
        <v/>
      </c>
      <c r="R76" s="153" t="str">
        <f t="shared" si="12"/>
        <v/>
      </c>
      <c r="S76" s="157"/>
      <c r="T76" s="94"/>
      <c r="U76" s="94"/>
      <c r="V76" s="94"/>
      <c r="W76" s="94"/>
      <c r="X76" s="94"/>
      <c r="Y76" s="94"/>
      <c r="Z76" s="94"/>
      <c r="AA76" s="94"/>
      <c r="AB76" s="94"/>
      <c r="AC76" s="152" t="str">
        <f t="shared" si="5"/>
        <v/>
      </c>
      <c r="AD76" s="140" t="str">
        <f t="shared" si="9"/>
        <v/>
      </c>
      <c r="AE76" s="153" t="str">
        <f t="shared" si="6"/>
        <v/>
      </c>
      <c r="AF76" s="158"/>
      <c r="AG76" s="140" t="str">
        <f t="shared" si="7"/>
        <v/>
      </c>
      <c r="AH76" s="153" t="str">
        <f t="shared" si="8"/>
        <v/>
      </c>
      <c r="AI76" s="156" t="str">
        <f t="shared" si="14"/>
        <v/>
      </c>
      <c r="AJ76" s="141" t="str">
        <f t="shared" si="13"/>
        <v/>
      </c>
      <c r="AL76" s="40"/>
      <c r="AO76" s="38"/>
      <c r="AP76" s="38"/>
      <c r="AQ76" s="38"/>
      <c r="AR76" s="38"/>
      <c r="AS76" s="38"/>
      <c r="AT76" s="38"/>
      <c r="AU76" s="38"/>
      <c r="AV76" s="38"/>
      <c r="AW76" s="38"/>
      <c r="AX76" s="38"/>
      <c r="AY76" s="38"/>
      <c r="AZ76" s="38"/>
      <c r="BA76" s="38"/>
      <c r="BB76" s="38"/>
      <c r="BC76" s="38"/>
      <c r="BD76" s="38"/>
    </row>
    <row r="77" spans="1:56" ht="18" hidden="1" customHeight="1">
      <c r="A77" s="139">
        <v>11</v>
      </c>
      <c r="B77" s="142" t="e">
        <f>#REF!</f>
        <v>#REF!</v>
      </c>
      <c r="C77" s="101"/>
      <c r="D77" s="101"/>
      <c r="E77" s="102"/>
      <c r="F77" s="104"/>
      <c r="G77" s="94"/>
      <c r="H77" s="94"/>
      <c r="I77" s="94"/>
      <c r="J77" s="94"/>
      <c r="K77" s="94"/>
      <c r="L77" s="94"/>
      <c r="M77" s="94"/>
      <c r="N77" s="94"/>
      <c r="O77" s="94"/>
      <c r="P77" s="152" t="str">
        <f t="shared" si="10"/>
        <v/>
      </c>
      <c r="Q77" s="140" t="str">
        <f t="shared" si="11"/>
        <v/>
      </c>
      <c r="R77" s="153" t="str">
        <f t="shared" si="12"/>
        <v/>
      </c>
      <c r="S77" s="157"/>
      <c r="T77" s="94"/>
      <c r="U77" s="94"/>
      <c r="V77" s="94"/>
      <c r="W77" s="94"/>
      <c r="X77" s="94"/>
      <c r="Y77" s="94"/>
      <c r="Z77" s="94"/>
      <c r="AA77" s="94"/>
      <c r="AB77" s="94"/>
      <c r="AC77" s="152" t="str">
        <f t="shared" si="5"/>
        <v/>
      </c>
      <c r="AD77" s="140" t="str">
        <f t="shared" si="9"/>
        <v/>
      </c>
      <c r="AE77" s="153" t="str">
        <f t="shared" si="6"/>
        <v/>
      </c>
      <c r="AF77" s="158"/>
      <c r="AG77" s="140" t="str">
        <f t="shared" si="7"/>
        <v/>
      </c>
      <c r="AH77" s="153" t="str">
        <f t="shared" si="8"/>
        <v/>
      </c>
      <c r="AI77" s="156" t="str">
        <f t="shared" si="14"/>
        <v/>
      </c>
      <c r="AJ77" s="141" t="str">
        <f t="shared" si="13"/>
        <v/>
      </c>
      <c r="AL77" s="40"/>
      <c r="AO77" s="38"/>
      <c r="AP77" s="38"/>
      <c r="AQ77" s="38"/>
      <c r="AR77" s="38"/>
      <c r="AS77" s="38"/>
      <c r="AT77" s="38"/>
      <c r="AU77" s="38"/>
      <c r="AV77" s="38"/>
      <c r="AW77" s="38"/>
      <c r="AX77" s="38"/>
      <c r="AY77" s="38"/>
      <c r="AZ77" s="38"/>
      <c r="BA77" s="38"/>
      <c r="BB77" s="38"/>
      <c r="BC77" s="38"/>
      <c r="BD77" s="38"/>
    </row>
    <row r="78" spans="1:56" ht="18" hidden="1" customHeight="1">
      <c r="A78" s="139">
        <v>12</v>
      </c>
      <c r="B78" s="128" t="e">
        <f>#REF!</f>
        <v>#REF!</v>
      </c>
      <c r="C78" s="101"/>
      <c r="D78" s="101"/>
      <c r="E78" s="102"/>
      <c r="F78" s="104"/>
      <c r="G78" s="94"/>
      <c r="H78" s="94"/>
      <c r="I78" s="94"/>
      <c r="J78" s="94"/>
      <c r="K78" s="94"/>
      <c r="L78" s="94"/>
      <c r="M78" s="94"/>
      <c r="N78" s="94"/>
      <c r="O78" s="94"/>
      <c r="P78" s="152" t="str">
        <f t="shared" si="10"/>
        <v/>
      </c>
      <c r="Q78" s="140" t="str">
        <f t="shared" si="11"/>
        <v/>
      </c>
      <c r="R78" s="153" t="str">
        <f t="shared" si="12"/>
        <v/>
      </c>
      <c r="S78" s="157"/>
      <c r="T78" s="94"/>
      <c r="U78" s="94"/>
      <c r="V78" s="94"/>
      <c r="W78" s="94"/>
      <c r="X78" s="94"/>
      <c r="Y78" s="94"/>
      <c r="Z78" s="94"/>
      <c r="AA78" s="94"/>
      <c r="AB78" s="94"/>
      <c r="AC78" s="152" t="str">
        <f t="shared" si="5"/>
        <v/>
      </c>
      <c r="AD78" s="140" t="str">
        <f t="shared" si="9"/>
        <v/>
      </c>
      <c r="AE78" s="153" t="str">
        <f t="shared" si="6"/>
        <v/>
      </c>
      <c r="AF78" s="158"/>
      <c r="AG78" s="140" t="str">
        <f t="shared" si="7"/>
        <v/>
      </c>
      <c r="AH78" s="153" t="str">
        <f t="shared" si="8"/>
        <v/>
      </c>
      <c r="AI78" s="156" t="str">
        <f t="shared" si="14"/>
        <v/>
      </c>
      <c r="AJ78" s="141" t="str">
        <f t="shared" si="13"/>
        <v/>
      </c>
      <c r="AL78" s="40"/>
      <c r="AO78" s="38"/>
      <c r="AP78" s="38"/>
      <c r="AQ78" s="38"/>
      <c r="AR78" s="38"/>
      <c r="AS78" s="38"/>
      <c r="AT78" s="38"/>
      <c r="AU78" s="38"/>
      <c r="AV78" s="38"/>
      <c r="AW78" s="38"/>
      <c r="AX78" s="38"/>
      <c r="AY78" s="38"/>
      <c r="AZ78" s="38"/>
      <c r="BA78" s="38"/>
      <c r="BB78" s="38"/>
      <c r="BC78" s="38"/>
      <c r="BD78" s="38"/>
    </row>
    <row r="79" spans="1:56" ht="18" hidden="1" customHeight="1">
      <c r="A79" s="139">
        <v>13</v>
      </c>
      <c r="B79" s="128" t="e">
        <f>#REF!</f>
        <v>#REF!</v>
      </c>
      <c r="C79" s="101"/>
      <c r="D79" s="101"/>
      <c r="E79" s="102"/>
      <c r="F79" s="104"/>
      <c r="G79" s="94"/>
      <c r="H79" s="94"/>
      <c r="I79" s="94"/>
      <c r="J79" s="94"/>
      <c r="K79" s="94"/>
      <c r="L79" s="94"/>
      <c r="M79" s="94"/>
      <c r="N79" s="94"/>
      <c r="O79" s="94"/>
      <c r="P79" s="152" t="str">
        <f t="shared" si="10"/>
        <v/>
      </c>
      <c r="Q79" s="140" t="str">
        <f t="shared" si="11"/>
        <v/>
      </c>
      <c r="R79" s="153" t="str">
        <f t="shared" si="12"/>
        <v/>
      </c>
      <c r="S79" s="157"/>
      <c r="T79" s="94"/>
      <c r="U79" s="94"/>
      <c r="V79" s="94"/>
      <c r="W79" s="94"/>
      <c r="X79" s="94"/>
      <c r="Y79" s="94"/>
      <c r="Z79" s="94"/>
      <c r="AA79" s="94"/>
      <c r="AB79" s="94"/>
      <c r="AC79" s="152" t="str">
        <f t="shared" si="5"/>
        <v/>
      </c>
      <c r="AD79" s="140" t="str">
        <f t="shared" si="9"/>
        <v/>
      </c>
      <c r="AE79" s="153" t="str">
        <f t="shared" si="6"/>
        <v/>
      </c>
      <c r="AF79" s="158"/>
      <c r="AG79" s="140" t="str">
        <f t="shared" si="7"/>
        <v/>
      </c>
      <c r="AH79" s="153" t="str">
        <f t="shared" si="8"/>
        <v/>
      </c>
      <c r="AI79" s="156" t="str">
        <f t="shared" si="14"/>
        <v/>
      </c>
      <c r="AJ79" s="141" t="str">
        <f t="shared" si="13"/>
        <v/>
      </c>
      <c r="AL79" s="40"/>
      <c r="AO79" s="38"/>
      <c r="AP79" s="38"/>
      <c r="AQ79" s="38"/>
      <c r="AR79" s="38"/>
      <c r="AS79" s="38"/>
      <c r="AT79" s="38"/>
      <c r="AU79" s="38"/>
      <c r="AV79" s="38"/>
      <c r="AW79" s="38"/>
      <c r="AX79" s="38"/>
      <c r="AY79" s="38"/>
      <c r="AZ79" s="38"/>
      <c r="BA79" s="38"/>
      <c r="BB79" s="38"/>
      <c r="BC79" s="38"/>
      <c r="BD79" s="38"/>
    </row>
    <row r="80" spans="1:56" ht="18" hidden="1" customHeight="1">
      <c r="A80" s="139">
        <v>14</v>
      </c>
      <c r="B80" s="142" t="e">
        <f>#REF!</f>
        <v>#REF!</v>
      </c>
      <c r="C80" s="101"/>
      <c r="D80" s="101"/>
      <c r="E80" s="102"/>
      <c r="F80" s="104"/>
      <c r="G80" s="94"/>
      <c r="H80" s="94"/>
      <c r="I80" s="94"/>
      <c r="J80" s="94"/>
      <c r="K80" s="94"/>
      <c r="L80" s="94"/>
      <c r="M80" s="94"/>
      <c r="N80" s="94"/>
      <c r="O80" s="94"/>
      <c r="P80" s="152" t="str">
        <f t="shared" si="10"/>
        <v/>
      </c>
      <c r="Q80" s="140" t="str">
        <f t="shared" si="11"/>
        <v/>
      </c>
      <c r="R80" s="153" t="str">
        <f t="shared" si="12"/>
        <v/>
      </c>
      <c r="S80" s="157"/>
      <c r="T80" s="94"/>
      <c r="U80" s="94"/>
      <c r="V80" s="94"/>
      <c r="W80" s="94"/>
      <c r="X80" s="94"/>
      <c r="Y80" s="94"/>
      <c r="Z80" s="94"/>
      <c r="AA80" s="94"/>
      <c r="AB80" s="94"/>
      <c r="AC80" s="152" t="str">
        <f t="shared" si="5"/>
        <v/>
      </c>
      <c r="AD80" s="140" t="str">
        <f t="shared" si="9"/>
        <v/>
      </c>
      <c r="AE80" s="153" t="str">
        <f t="shared" si="6"/>
        <v/>
      </c>
      <c r="AF80" s="158"/>
      <c r="AG80" s="140" t="str">
        <f t="shared" si="7"/>
        <v/>
      </c>
      <c r="AH80" s="153" t="str">
        <f t="shared" si="8"/>
        <v/>
      </c>
      <c r="AI80" s="156" t="str">
        <f t="shared" si="14"/>
        <v/>
      </c>
      <c r="AJ80" s="141" t="str">
        <f t="shared" ref="AJ80:AJ116" si="16">IF(ISERROR(IF($AF80="","",VLOOKUP(AI80,TRANSMUTATION_TABLE,4,TRUE))),"",IF($AF80="","",VLOOKUP(AI80,TRANSMUTATION_TABLE,4,TRUE)))</f>
        <v/>
      </c>
      <c r="AL80" s="40"/>
      <c r="AO80" s="38"/>
      <c r="AP80" s="38"/>
      <c r="AQ80" s="38"/>
      <c r="AR80" s="38"/>
      <c r="AS80" s="38"/>
      <c r="AT80" s="38"/>
      <c r="AU80" s="38"/>
      <c r="AV80" s="38"/>
      <c r="AW80" s="38"/>
      <c r="AX80" s="38"/>
      <c r="AY80" s="38"/>
      <c r="AZ80" s="38"/>
      <c r="BA80" s="38"/>
      <c r="BB80" s="38"/>
      <c r="BC80" s="38"/>
      <c r="BD80" s="38"/>
    </row>
    <row r="81" spans="1:56" ht="18" hidden="1" customHeight="1">
      <c r="A81" s="139">
        <v>15</v>
      </c>
      <c r="B81" s="142" t="e">
        <f>#REF!</f>
        <v>#REF!</v>
      </c>
      <c r="C81" s="101"/>
      <c r="D81" s="101"/>
      <c r="E81" s="102"/>
      <c r="F81" s="104"/>
      <c r="G81" s="94"/>
      <c r="H81" s="94"/>
      <c r="I81" s="94"/>
      <c r="J81" s="94"/>
      <c r="K81" s="94"/>
      <c r="L81" s="94"/>
      <c r="M81" s="94"/>
      <c r="N81" s="94"/>
      <c r="O81" s="94"/>
      <c r="P81" s="152" t="str">
        <f t="shared" ref="P81:P116" si="17">IF(COUNT($F81:$O81)=0,"",SUM($F81:$O81))</f>
        <v/>
      </c>
      <c r="Q81" s="140" t="str">
        <f t="shared" si="11"/>
        <v/>
      </c>
      <c r="R81" s="153" t="str">
        <f t="shared" si="12"/>
        <v/>
      </c>
      <c r="S81" s="157"/>
      <c r="T81" s="94"/>
      <c r="U81" s="94"/>
      <c r="V81" s="94"/>
      <c r="W81" s="94"/>
      <c r="X81" s="94"/>
      <c r="Y81" s="94"/>
      <c r="Z81" s="94"/>
      <c r="AA81" s="94"/>
      <c r="AB81" s="94"/>
      <c r="AC81" s="152" t="str">
        <f t="shared" ref="AC81:AC116" si="18">IF(COUNT($S81:$AB81)=0,"",SUM($S81:$AB81))</f>
        <v/>
      </c>
      <c r="AD81" s="140" t="str">
        <f t="shared" ref="AD81:AD116" si="19">IF(ISERROR(IF($AC81="","",ROUND(($AC81/$AC$10)*$AD$10,2))),"",IF($AC81="","",ROUND(($AC81/$AC$10)*$AD$10,2)))</f>
        <v/>
      </c>
      <c r="AE81" s="153" t="str">
        <f t="shared" ref="AE81:AE116" si="20">IF($AD81="","",ROUND($AD81*$AE$10,2))</f>
        <v/>
      </c>
      <c r="AF81" s="158"/>
      <c r="AG81" s="140" t="str">
        <f t="shared" ref="AG81:AG116" si="21">IF(ISERROR(IF($AF81="","",ROUND(($AF81/$AF$10)*$AG$10,2))),"",IF($AF81="","",ROUND(($AF81/$AF$10)*$AG$10,2)))</f>
        <v/>
      </c>
      <c r="AH81" s="153" t="str">
        <f t="shared" ref="AH81:AH116" si="22">IF($AG81="","",ROUND($AG81*$AH$10,2))</f>
        <v/>
      </c>
      <c r="AI81" s="156" t="str">
        <f t="shared" si="14"/>
        <v/>
      </c>
      <c r="AJ81" s="141" t="str">
        <f t="shared" si="16"/>
        <v/>
      </c>
      <c r="AL81" s="40"/>
      <c r="AO81" s="38"/>
      <c r="AP81" s="38"/>
      <c r="AQ81" s="38"/>
      <c r="AR81" s="38"/>
      <c r="AS81" s="38"/>
      <c r="AT81" s="38"/>
      <c r="AU81" s="38"/>
      <c r="AV81" s="38"/>
      <c r="AW81" s="38"/>
      <c r="AX81" s="38"/>
      <c r="AY81" s="38"/>
      <c r="AZ81" s="38"/>
      <c r="BA81" s="38"/>
      <c r="BB81" s="38"/>
      <c r="BC81" s="38"/>
      <c r="BD81" s="38"/>
    </row>
    <row r="82" spans="1:56" ht="18" hidden="1" customHeight="1">
      <c r="A82" s="139">
        <v>16</v>
      </c>
      <c r="B82" s="128" t="e">
        <f>#REF!</f>
        <v>#REF!</v>
      </c>
      <c r="C82" s="101"/>
      <c r="D82" s="101"/>
      <c r="E82" s="102"/>
      <c r="F82" s="104"/>
      <c r="G82" s="94"/>
      <c r="H82" s="94"/>
      <c r="I82" s="94"/>
      <c r="J82" s="94"/>
      <c r="K82" s="94"/>
      <c r="L82" s="94"/>
      <c r="M82" s="94"/>
      <c r="N82" s="94"/>
      <c r="O82" s="94"/>
      <c r="P82" s="152" t="str">
        <f t="shared" si="17"/>
        <v/>
      </c>
      <c r="Q82" s="140" t="str">
        <f t="shared" si="11"/>
        <v/>
      </c>
      <c r="R82" s="153" t="str">
        <f t="shared" si="12"/>
        <v/>
      </c>
      <c r="S82" s="157"/>
      <c r="T82" s="94"/>
      <c r="U82" s="94"/>
      <c r="V82" s="94"/>
      <c r="W82" s="94"/>
      <c r="X82" s="94"/>
      <c r="Y82" s="94"/>
      <c r="Z82" s="94"/>
      <c r="AA82" s="94"/>
      <c r="AB82" s="94"/>
      <c r="AC82" s="152" t="str">
        <f t="shared" si="18"/>
        <v/>
      </c>
      <c r="AD82" s="140" t="str">
        <f t="shared" si="19"/>
        <v/>
      </c>
      <c r="AE82" s="153" t="str">
        <f t="shared" si="20"/>
        <v/>
      </c>
      <c r="AF82" s="158"/>
      <c r="AG82" s="140" t="str">
        <f t="shared" si="21"/>
        <v/>
      </c>
      <c r="AH82" s="153" t="str">
        <f t="shared" si="22"/>
        <v/>
      </c>
      <c r="AI82" s="156" t="str">
        <f t="shared" si="14"/>
        <v/>
      </c>
      <c r="AJ82" s="141" t="str">
        <f t="shared" si="16"/>
        <v/>
      </c>
      <c r="AL82" s="40"/>
      <c r="AO82" s="38"/>
      <c r="AP82" s="38"/>
      <c r="AQ82" s="38"/>
      <c r="AR82" s="38"/>
      <c r="AS82" s="38"/>
      <c r="AT82" s="38"/>
      <c r="AU82" s="38"/>
      <c r="AV82" s="38"/>
      <c r="AW82" s="38"/>
      <c r="AX82" s="38"/>
      <c r="AY82" s="38"/>
      <c r="AZ82" s="38"/>
      <c r="BA82" s="38"/>
      <c r="BB82" s="38"/>
      <c r="BC82" s="38"/>
      <c r="BD82" s="38"/>
    </row>
    <row r="83" spans="1:56" ht="18" hidden="1" customHeight="1">
      <c r="A83" s="139">
        <v>17</v>
      </c>
      <c r="B83" s="128" t="e">
        <f>#REF!</f>
        <v>#REF!</v>
      </c>
      <c r="C83" s="101"/>
      <c r="D83" s="101"/>
      <c r="E83" s="102"/>
      <c r="F83" s="104"/>
      <c r="G83" s="94"/>
      <c r="H83" s="94"/>
      <c r="I83" s="94"/>
      <c r="J83" s="94"/>
      <c r="K83" s="94"/>
      <c r="L83" s="94"/>
      <c r="M83" s="94"/>
      <c r="N83" s="94"/>
      <c r="O83" s="94"/>
      <c r="P83" s="152" t="str">
        <f t="shared" si="17"/>
        <v/>
      </c>
      <c r="Q83" s="140" t="str">
        <f t="shared" si="11"/>
        <v/>
      </c>
      <c r="R83" s="153" t="str">
        <f t="shared" si="12"/>
        <v/>
      </c>
      <c r="S83" s="157"/>
      <c r="T83" s="94"/>
      <c r="U83" s="94"/>
      <c r="V83" s="94"/>
      <c r="W83" s="94"/>
      <c r="X83" s="94"/>
      <c r="Y83" s="94"/>
      <c r="Z83" s="94"/>
      <c r="AA83" s="94"/>
      <c r="AB83" s="94"/>
      <c r="AC83" s="152" t="str">
        <f t="shared" si="18"/>
        <v/>
      </c>
      <c r="AD83" s="140" t="str">
        <f t="shared" si="19"/>
        <v/>
      </c>
      <c r="AE83" s="153" t="str">
        <f t="shared" si="20"/>
        <v/>
      </c>
      <c r="AF83" s="158"/>
      <c r="AG83" s="140" t="str">
        <f t="shared" si="21"/>
        <v/>
      </c>
      <c r="AH83" s="153" t="str">
        <f t="shared" si="22"/>
        <v/>
      </c>
      <c r="AI83" s="156" t="str">
        <f t="shared" si="14"/>
        <v/>
      </c>
      <c r="AJ83" s="141" t="str">
        <f t="shared" si="16"/>
        <v/>
      </c>
      <c r="AL83" s="40"/>
      <c r="AO83" s="38"/>
      <c r="AP83" s="38"/>
      <c r="AQ83" s="38"/>
      <c r="AR83" s="38"/>
      <c r="AS83" s="38"/>
      <c r="AT83" s="38"/>
      <c r="AU83" s="38"/>
      <c r="AV83" s="38"/>
      <c r="AW83" s="38"/>
      <c r="AX83" s="38"/>
      <c r="AY83" s="38"/>
      <c r="AZ83" s="38"/>
      <c r="BA83" s="38"/>
      <c r="BB83" s="38"/>
      <c r="BC83" s="38"/>
      <c r="BD83" s="38"/>
    </row>
    <row r="84" spans="1:56" ht="18" hidden="1" customHeight="1">
      <c r="A84" s="139">
        <v>18</v>
      </c>
      <c r="B84" s="142" t="e">
        <f>#REF!</f>
        <v>#REF!</v>
      </c>
      <c r="C84" s="101"/>
      <c r="D84" s="101"/>
      <c r="E84" s="102"/>
      <c r="F84" s="104"/>
      <c r="G84" s="94"/>
      <c r="H84" s="94"/>
      <c r="I84" s="94"/>
      <c r="J84" s="94"/>
      <c r="K84" s="94"/>
      <c r="L84" s="94"/>
      <c r="M84" s="94"/>
      <c r="N84" s="94"/>
      <c r="O84" s="94"/>
      <c r="P84" s="152" t="str">
        <f t="shared" si="17"/>
        <v/>
      </c>
      <c r="Q84" s="140" t="str">
        <f t="shared" si="11"/>
        <v/>
      </c>
      <c r="R84" s="153" t="str">
        <f t="shared" si="12"/>
        <v/>
      </c>
      <c r="S84" s="157"/>
      <c r="T84" s="94"/>
      <c r="U84" s="94"/>
      <c r="V84" s="94"/>
      <c r="W84" s="94"/>
      <c r="X84" s="94"/>
      <c r="Y84" s="94"/>
      <c r="Z84" s="94"/>
      <c r="AA84" s="94"/>
      <c r="AB84" s="94"/>
      <c r="AC84" s="152" t="str">
        <f t="shared" si="18"/>
        <v/>
      </c>
      <c r="AD84" s="140" t="str">
        <f t="shared" si="19"/>
        <v/>
      </c>
      <c r="AE84" s="153" t="str">
        <f t="shared" si="20"/>
        <v/>
      </c>
      <c r="AF84" s="158"/>
      <c r="AG84" s="140" t="str">
        <f t="shared" si="21"/>
        <v/>
      </c>
      <c r="AH84" s="153" t="str">
        <f t="shared" si="22"/>
        <v/>
      </c>
      <c r="AI84" s="156" t="str">
        <f t="shared" si="14"/>
        <v/>
      </c>
      <c r="AJ84" s="141" t="str">
        <f t="shared" si="16"/>
        <v/>
      </c>
      <c r="AL84" s="40"/>
      <c r="AO84" s="38"/>
      <c r="AP84" s="38"/>
      <c r="AQ84" s="38"/>
      <c r="AR84" s="38"/>
      <c r="AS84" s="38"/>
      <c r="AT84" s="38"/>
      <c r="AU84" s="38"/>
      <c r="AV84" s="38"/>
      <c r="AW84" s="38"/>
      <c r="AX84" s="38"/>
      <c r="AY84" s="38"/>
      <c r="AZ84" s="38"/>
      <c r="BA84" s="38"/>
      <c r="BB84" s="38"/>
      <c r="BC84" s="38"/>
      <c r="BD84" s="38"/>
    </row>
    <row r="85" spans="1:56" ht="18" hidden="1" customHeight="1">
      <c r="A85" s="139">
        <v>19</v>
      </c>
      <c r="B85" s="142" t="e">
        <f>#REF!</f>
        <v>#REF!</v>
      </c>
      <c r="C85" s="101"/>
      <c r="D85" s="101"/>
      <c r="E85" s="102"/>
      <c r="F85" s="104"/>
      <c r="G85" s="94"/>
      <c r="H85" s="94"/>
      <c r="I85" s="94"/>
      <c r="J85" s="94"/>
      <c r="K85" s="94"/>
      <c r="L85" s="94"/>
      <c r="M85" s="94"/>
      <c r="N85" s="94"/>
      <c r="O85" s="94"/>
      <c r="P85" s="152" t="str">
        <f t="shared" si="17"/>
        <v/>
      </c>
      <c r="Q85" s="140" t="str">
        <f t="shared" si="11"/>
        <v/>
      </c>
      <c r="R85" s="153" t="str">
        <f t="shared" si="12"/>
        <v/>
      </c>
      <c r="S85" s="157"/>
      <c r="T85" s="94"/>
      <c r="U85" s="94"/>
      <c r="V85" s="94"/>
      <c r="W85" s="94"/>
      <c r="X85" s="94"/>
      <c r="Y85" s="94"/>
      <c r="Z85" s="94"/>
      <c r="AA85" s="94"/>
      <c r="AB85" s="94"/>
      <c r="AC85" s="152" t="str">
        <f t="shared" si="18"/>
        <v/>
      </c>
      <c r="AD85" s="140" t="str">
        <f t="shared" si="19"/>
        <v/>
      </c>
      <c r="AE85" s="153" t="str">
        <f t="shared" si="20"/>
        <v/>
      </c>
      <c r="AF85" s="158"/>
      <c r="AG85" s="140" t="str">
        <f t="shared" si="21"/>
        <v/>
      </c>
      <c r="AH85" s="153" t="str">
        <f t="shared" si="22"/>
        <v/>
      </c>
      <c r="AI85" s="156" t="str">
        <f t="shared" si="14"/>
        <v/>
      </c>
      <c r="AJ85" s="141" t="str">
        <f t="shared" si="16"/>
        <v/>
      </c>
      <c r="AL85" s="40"/>
      <c r="AO85" s="38"/>
      <c r="AP85" s="38"/>
      <c r="AQ85" s="38"/>
      <c r="AR85" s="38"/>
      <c r="AS85" s="38"/>
      <c r="AT85" s="38"/>
      <c r="AU85" s="38"/>
      <c r="AV85" s="38"/>
      <c r="AW85" s="38"/>
      <c r="AX85" s="38"/>
      <c r="AY85" s="38"/>
      <c r="AZ85" s="38"/>
      <c r="BA85" s="38"/>
      <c r="BB85" s="38"/>
      <c r="BC85" s="38"/>
      <c r="BD85" s="38"/>
    </row>
    <row r="86" spans="1:56" ht="18" hidden="1" customHeight="1">
      <c r="A86" s="139">
        <v>20</v>
      </c>
      <c r="B86" s="128" t="e">
        <f>#REF!</f>
        <v>#REF!</v>
      </c>
      <c r="C86" s="101"/>
      <c r="D86" s="101"/>
      <c r="E86" s="102"/>
      <c r="F86" s="104"/>
      <c r="G86" s="94"/>
      <c r="H86" s="94"/>
      <c r="I86" s="94"/>
      <c r="J86" s="94"/>
      <c r="K86" s="94"/>
      <c r="L86" s="94"/>
      <c r="M86" s="94"/>
      <c r="N86" s="94"/>
      <c r="O86" s="94"/>
      <c r="P86" s="152" t="str">
        <f t="shared" si="17"/>
        <v/>
      </c>
      <c r="Q86" s="140" t="str">
        <f t="shared" si="11"/>
        <v/>
      </c>
      <c r="R86" s="153" t="str">
        <f t="shared" si="12"/>
        <v/>
      </c>
      <c r="S86" s="157"/>
      <c r="T86" s="94"/>
      <c r="U86" s="94"/>
      <c r="V86" s="94"/>
      <c r="W86" s="94"/>
      <c r="X86" s="94"/>
      <c r="Y86" s="94"/>
      <c r="Z86" s="94"/>
      <c r="AA86" s="94"/>
      <c r="AB86" s="94"/>
      <c r="AC86" s="152" t="str">
        <f t="shared" si="18"/>
        <v/>
      </c>
      <c r="AD86" s="140" t="str">
        <f t="shared" si="19"/>
        <v/>
      </c>
      <c r="AE86" s="153" t="str">
        <f t="shared" si="20"/>
        <v/>
      </c>
      <c r="AF86" s="158"/>
      <c r="AG86" s="140" t="str">
        <f t="shared" si="21"/>
        <v/>
      </c>
      <c r="AH86" s="153" t="str">
        <f t="shared" si="22"/>
        <v/>
      </c>
      <c r="AI86" s="156" t="str">
        <f t="shared" si="14"/>
        <v/>
      </c>
      <c r="AJ86" s="141" t="str">
        <f t="shared" si="16"/>
        <v/>
      </c>
      <c r="AL86" s="40"/>
      <c r="AO86" s="38"/>
      <c r="AP86" s="38"/>
      <c r="AQ86" s="38"/>
      <c r="AR86" s="38"/>
      <c r="AS86" s="38"/>
      <c r="AT86" s="38"/>
      <c r="AU86" s="38"/>
      <c r="AV86" s="38"/>
      <c r="AW86" s="38"/>
      <c r="AX86" s="38"/>
      <c r="AY86" s="38"/>
      <c r="AZ86" s="38"/>
      <c r="BA86" s="38"/>
      <c r="BB86" s="38"/>
      <c r="BC86" s="38"/>
      <c r="BD86" s="38"/>
    </row>
    <row r="87" spans="1:56" ht="18" hidden="1" customHeight="1">
      <c r="A87" s="139">
        <v>21</v>
      </c>
      <c r="B87" s="128" t="e">
        <f>#REF!</f>
        <v>#REF!</v>
      </c>
      <c r="C87" s="101"/>
      <c r="D87" s="101"/>
      <c r="E87" s="102"/>
      <c r="F87" s="104"/>
      <c r="G87" s="94"/>
      <c r="H87" s="94"/>
      <c r="I87" s="94"/>
      <c r="J87" s="94"/>
      <c r="K87" s="94"/>
      <c r="L87" s="94"/>
      <c r="M87" s="94"/>
      <c r="N87" s="94"/>
      <c r="O87" s="94"/>
      <c r="P87" s="152" t="str">
        <f t="shared" si="17"/>
        <v/>
      </c>
      <c r="Q87" s="140" t="str">
        <f t="shared" si="11"/>
        <v/>
      </c>
      <c r="R87" s="153" t="str">
        <f t="shared" si="12"/>
        <v/>
      </c>
      <c r="S87" s="157"/>
      <c r="T87" s="94"/>
      <c r="U87" s="94"/>
      <c r="V87" s="94"/>
      <c r="W87" s="94"/>
      <c r="X87" s="94"/>
      <c r="Y87" s="94"/>
      <c r="Z87" s="94"/>
      <c r="AA87" s="94"/>
      <c r="AB87" s="94"/>
      <c r="AC87" s="152" t="str">
        <f t="shared" si="18"/>
        <v/>
      </c>
      <c r="AD87" s="140" t="str">
        <f t="shared" si="19"/>
        <v/>
      </c>
      <c r="AE87" s="153" t="str">
        <f t="shared" si="20"/>
        <v/>
      </c>
      <c r="AF87" s="158"/>
      <c r="AG87" s="140" t="str">
        <f t="shared" si="21"/>
        <v/>
      </c>
      <c r="AH87" s="153" t="str">
        <f t="shared" si="22"/>
        <v/>
      </c>
      <c r="AI87" s="156" t="str">
        <f t="shared" si="14"/>
        <v/>
      </c>
      <c r="AJ87" s="141" t="str">
        <f t="shared" si="16"/>
        <v/>
      </c>
      <c r="AL87" s="40"/>
      <c r="AO87" s="38"/>
      <c r="AP87" s="38"/>
      <c r="AQ87" s="38"/>
      <c r="AR87" s="38"/>
      <c r="AS87" s="38"/>
      <c r="AT87" s="38"/>
      <c r="AU87" s="38"/>
      <c r="AV87" s="38"/>
      <c r="AW87" s="38"/>
      <c r="AX87" s="38"/>
      <c r="AY87" s="38"/>
      <c r="AZ87" s="38"/>
      <c r="BA87" s="38"/>
      <c r="BB87" s="38"/>
      <c r="BC87" s="38"/>
      <c r="BD87" s="38"/>
    </row>
    <row r="88" spans="1:56" ht="18" hidden="1" customHeight="1">
      <c r="A88" s="139">
        <v>22</v>
      </c>
      <c r="B88" s="142" t="e">
        <f>#REF!</f>
        <v>#REF!</v>
      </c>
      <c r="C88" s="101"/>
      <c r="D88" s="101"/>
      <c r="E88" s="102"/>
      <c r="F88" s="104"/>
      <c r="G88" s="94"/>
      <c r="H88" s="94"/>
      <c r="I88" s="94"/>
      <c r="J88" s="94"/>
      <c r="K88" s="94"/>
      <c r="L88" s="94"/>
      <c r="M88" s="94"/>
      <c r="N88" s="94"/>
      <c r="O88" s="94"/>
      <c r="P88" s="152" t="str">
        <f t="shared" si="17"/>
        <v/>
      </c>
      <c r="Q88" s="140" t="str">
        <f t="shared" si="11"/>
        <v/>
      </c>
      <c r="R88" s="153" t="str">
        <f t="shared" si="12"/>
        <v/>
      </c>
      <c r="S88" s="157"/>
      <c r="T88" s="94"/>
      <c r="U88" s="94"/>
      <c r="V88" s="94"/>
      <c r="W88" s="94"/>
      <c r="X88" s="94"/>
      <c r="Y88" s="94"/>
      <c r="Z88" s="94"/>
      <c r="AA88" s="94"/>
      <c r="AB88" s="94"/>
      <c r="AC88" s="152" t="str">
        <f t="shared" si="18"/>
        <v/>
      </c>
      <c r="AD88" s="140" t="str">
        <f t="shared" si="19"/>
        <v/>
      </c>
      <c r="AE88" s="153" t="str">
        <f t="shared" si="20"/>
        <v/>
      </c>
      <c r="AF88" s="158"/>
      <c r="AG88" s="140" t="str">
        <f t="shared" si="21"/>
        <v/>
      </c>
      <c r="AH88" s="153" t="str">
        <f t="shared" si="22"/>
        <v/>
      </c>
      <c r="AI88" s="156" t="str">
        <f t="shared" si="14"/>
        <v/>
      </c>
      <c r="AJ88" s="141" t="str">
        <f t="shared" si="16"/>
        <v/>
      </c>
      <c r="AL88" s="40"/>
      <c r="AO88" s="38"/>
      <c r="AP88" s="38"/>
      <c r="AQ88" s="38"/>
      <c r="AR88" s="38"/>
      <c r="AS88" s="38"/>
      <c r="AT88" s="38"/>
      <c r="AU88" s="38"/>
      <c r="AV88" s="38"/>
      <c r="AW88" s="38"/>
      <c r="AX88" s="38"/>
      <c r="AY88" s="38"/>
      <c r="AZ88" s="38"/>
      <c r="BA88" s="38"/>
      <c r="BB88" s="38"/>
      <c r="BC88" s="38"/>
      <c r="BD88" s="38"/>
    </row>
    <row r="89" spans="1:56" ht="18" hidden="1" customHeight="1">
      <c r="A89" s="139">
        <v>23</v>
      </c>
      <c r="B89" s="142" t="e">
        <f>#REF!</f>
        <v>#REF!</v>
      </c>
      <c r="C89" s="101"/>
      <c r="D89" s="101"/>
      <c r="E89" s="102"/>
      <c r="F89" s="104"/>
      <c r="G89" s="94"/>
      <c r="H89" s="94"/>
      <c r="I89" s="94"/>
      <c r="J89" s="94"/>
      <c r="K89" s="94"/>
      <c r="L89" s="94"/>
      <c r="M89" s="94"/>
      <c r="N89" s="94"/>
      <c r="O89" s="94"/>
      <c r="P89" s="152" t="str">
        <f t="shared" si="17"/>
        <v/>
      </c>
      <c r="Q89" s="140" t="str">
        <f t="shared" si="11"/>
        <v/>
      </c>
      <c r="R89" s="153" t="str">
        <f t="shared" si="12"/>
        <v/>
      </c>
      <c r="S89" s="157"/>
      <c r="T89" s="94"/>
      <c r="U89" s="94"/>
      <c r="V89" s="94"/>
      <c r="W89" s="94"/>
      <c r="X89" s="94"/>
      <c r="Y89" s="94"/>
      <c r="Z89" s="94"/>
      <c r="AA89" s="94"/>
      <c r="AB89" s="94"/>
      <c r="AC89" s="152" t="str">
        <f t="shared" si="18"/>
        <v/>
      </c>
      <c r="AD89" s="140" t="str">
        <f t="shared" si="19"/>
        <v/>
      </c>
      <c r="AE89" s="153" t="str">
        <f t="shared" si="20"/>
        <v/>
      </c>
      <c r="AF89" s="158"/>
      <c r="AG89" s="140" t="str">
        <f t="shared" si="21"/>
        <v/>
      </c>
      <c r="AH89" s="153" t="str">
        <f t="shared" si="22"/>
        <v/>
      </c>
      <c r="AI89" s="156" t="str">
        <f t="shared" si="14"/>
        <v/>
      </c>
      <c r="AJ89" s="141" t="str">
        <f t="shared" si="16"/>
        <v/>
      </c>
      <c r="AL89" s="40"/>
      <c r="AO89" s="38"/>
      <c r="AP89" s="38"/>
      <c r="AQ89" s="38"/>
      <c r="AR89" s="38"/>
      <c r="AS89" s="38"/>
      <c r="AT89" s="38"/>
      <c r="AU89" s="38"/>
      <c r="AV89" s="38"/>
      <c r="AW89" s="38"/>
      <c r="AX89" s="38"/>
      <c r="AY89" s="38"/>
      <c r="AZ89" s="38"/>
      <c r="BA89" s="38"/>
      <c r="BB89" s="38"/>
      <c r="BC89" s="38"/>
      <c r="BD89" s="38"/>
    </row>
    <row r="90" spans="1:56" ht="18" hidden="1" customHeight="1">
      <c r="A90" s="139">
        <v>24</v>
      </c>
      <c r="B90" s="128" t="e">
        <f>#REF!</f>
        <v>#REF!</v>
      </c>
      <c r="C90" s="101"/>
      <c r="D90" s="101"/>
      <c r="E90" s="102"/>
      <c r="F90" s="104"/>
      <c r="G90" s="94"/>
      <c r="H90" s="94"/>
      <c r="I90" s="94"/>
      <c r="J90" s="94"/>
      <c r="K90" s="94"/>
      <c r="L90" s="94"/>
      <c r="M90" s="94"/>
      <c r="N90" s="94"/>
      <c r="O90" s="94"/>
      <c r="P90" s="152" t="str">
        <f t="shared" si="17"/>
        <v/>
      </c>
      <c r="Q90" s="140" t="str">
        <f t="shared" si="11"/>
        <v/>
      </c>
      <c r="R90" s="153" t="str">
        <f t="shared" si="12"/>
        <v/>
      </c>
      <c r="S90" s="157"/>
      <c r="T90" s="94"/>
      <c r="U90" s="94"/>
      <c r="V90" s="94"/>
      <c r="W90" s="94"/>
      <c r="X90" s="94"/>
      <c r="Y90" s="94"/>
      <c r="Z90" s="94"/>
      <c r="AA90" s="94"/>
      <c r="AB90" s="94"/>
      <c r="AC90" s="152" t="str">
        <f t="shared" si="18"/>
        <v/>
      </c>
      <c r="AD90" s="140" t="str">
        <f t="shared" si="19"/>
        <v/>
      </c>
      <c r="AE90" s="153" t="str">
        <f t="shared" si="20"/>
        <v/>
      </c>
      <c r="AF90" s="158"/>
      <c r="AG90" s="140" t="str">
        <f t="shared" si="21"/>
        <v/>
      </c>
      <c r="AH90" s="153" t="str">
        <f t="shared" si="22"/>
        <v/>
      </c>
      <c r="AI90" s="156" t="str">
        <f t="shared" si="14"/>
        <v/>
      </c>
      <c r="AJ90" s="141" t="str">
        <f t="shared" si="16"/>
        <v/>
      </c>
      <c r="AL90" s="40"/>
      <c r="AO90" s="38"/>
      <c r="AP90" s="38"/>
      <c r="AQ90" s="38"/>
      <c r="AR90" s="38"/>
      <c r="AS90" s="38"/>
      <c r="AT90" s="38"/>
      <c r="AU90" s="38"/>
      <c r="AV90" s="38"/>
      <c r="AW90" s="38"/>
      <c r="AX90" s="38"/>
      <c r="AY90" s="38"/>
      <c r="AZ90" s="38"/>
      <c r="BA90" s="38"/>
      <c r="BB90" s="38"/>
      <c r="BC90" s="38"/>
      <c r="BD90" s="38"/>
    </row>
    <row r="91" spans="1:56" ht="18" hidden="1" customHeight="1">
      <c r="A91" s="139">
        <v>25</v>
      </c>
      <c r="B91" s="128" t="e">
        <f>#REF!</f>
        <v>#REF!</v>
      </c>
      <c r="C91" s="101"/>
      <c r="D91" s="101"/>
      <c r="E91" s="102"/>
      <c r="F91" s="104"/>
      <c r="G91" s="94"/>
      <c r="H91" s="94"/>
      <c r="I91" s="94"/>
      <c r="J91" s="94"/>
      <c r="K91" s="94"/>
      <c r="L91" s="94"/>
      <c r="M91" s="94"/>
      <c r="N91" s="94"/>
      <c r="O91" s="94"/>
      <c r="P91" s="152" t="str">
        <f t="shared" si="17"/>
        <v/>
      </c>
      <c r="Q91" s="140" t="str">
        <f t="shared" si="11"/>
        <v/>
      </c>
      <c r="R91" s="153" t="str">
        <f t="shared" si="12"/>
        <v/>
      </c>
      <c r="S91" s="157"/>
      <c r="T91" s="94"/>
      <c r="U91" s="94"/>
      <c r="V91" s="94"/>
      <c r="W91" s="94"/>
      <c r="X91" s="94"/>
      <c r="Y91" s="94"/>
      <c r="Z91" s="94"/>
      <c r="AA91" s="94"/>
      <c r="AB91" s="94"/>
      <c r="AC91" s="152" t="str">
        <f t="shared" si="18"/>
        <v/>
      </c>
      <c r="AD91" s="140" t="str">
        <f t="shared" si="19"/>
        <v/>
      </c>
      <c r="AE91" s="153" t="str">
        <f t="shared" si="20"/>
        <v/>
      </c>
      <c r="AF91" s="158"/>
      <c r="AG91" s="140" t="str">
        <f t="shared" si="21"/>
        <v/>
      </c>
      <c r="AH91" s="153" t="str">
        <f t="shared" si="22"/>
        <v/>
      </c>
      <c r="AI91" s="156" t="str">
        <f t="shared" si="14"/>
        <v/>
      </c>
      <c r="AJ91" s="141" t="str">
        <f t="shared" si="16"/>
        <v/>
      </c>
      <c r="AL91" s="40"/>
      <c r="AO91" s="38"/>
      <c r="AP91" s="38"/>
      <c r="AQ91" s="38"/>
      <c r="AR91" s="38"/>
      <c r="AS91" s="38"/>
      <c r="AT91" s="38"/>
      <c r="AU91" s="38"/>
      <c r="AV91" s="38"/>
      <c r="AW91" s="38"/>
      <c r="AX91" s="38"/>
      <c r="AY91" s="38"/>
      <c r="AZ91" s="38"/>
      <c r="BA91" s="38"/>
      <c r="BB91" s="38"/>
      <c r="BC91" s="38"/>
      <c r="BD91" s="38"/>
    </row>
    <row r="92" spans="1:56" ht="18" hidden="1" customHeight="1">
      <c r="A92" s="139">
        <v>26</v>
      </c>
      <c r="B92" s="142" t="e">
        <f>#REF!</f>
        <v>#REF!</v>
      </c>
      <c r="C92" s="101"/>
      <c r="D92" s="101"/>
      <c r="E92" s="102"/>
      <c r="F92" s="104"/>
      <c r="G92" s="94"/>
      <c r="H92" s="94"/>
      <c r="I92" s="94"/>
      <c r="J92" s="94"/>
      <c r="K92" s="94"/>
      <c r="L92" s="94"/>
      <c r="M92" s="94"/>
      <c r="N92" s="94"/>
      <c r="O92" s="94"/>
      <c r="P92" s="152" t="str">
        <f t="shared" si="17"/>
        <v/>
      </c>
      <c r="Q92" s="140" t="str">
        <f t="shared" si="11"/>
        <v/>
      </c>
      <c r="R92" s="153" t="str">
        <f t="shared" si="12"/>
        <v/>
      </c>
      <c r="S92" s="157"/>
      <c r="T92" s="94"/>
      <c r="U92" s="94"/>
      <c r="V92" s="94"/>
      <c r="W92" s="94"/>
      <c r="X92" s="94"/>
      <c r="Y92" s="94"/>
      <c r="Z92" s="94"/>
      <c r="AA92" s="94"/>
      <c r="AB92" s="94"/>
      <c r="AC92" s="152" t="str">
        <f t="shared" si="18"/>
        <v/>
      </c>
      <c r="AD92" s="140" t="str">
        <f t="shared" si="19"/>
        <v/>
      </c>
      <c r="AE92" s="153" t="str">
        <f t="shared" si="20"/>
        <v/>
      </c>
      <c r="AF92" s="158"/>
      <c r="AG92" s="140" t="str">
        <f t="shared" si="21"/>
        <v/>
      </c>
      <c r="AH92" s="153" t="str">
        <f t="shared" si="22"/>
        <v/>
      </c>
      <c r="AI92" s="156" t="str">
        <f t="shared" si="14"/>
        <v/>
      </c>
      <c r="AJ92" s="141" t="str">
        <f t="shared" si="16"/>
        <v/>
      </c>
      <c r="AL92" s="40"/>
      <c r="AO92" s="38"/>
      <c r="AP92" s="38"/>
      <c r="AQ92" s="38"/>
      <c r="AR92" s="38"/>
      <c r="AS92" s="38"/>
      <c r="AT92" s="38"/>
      <c r="AU92" s="38"/>
      <c r="AV92" s="38"/>
      <c r="AW92" s="38"/>
      <c r="AX92" s="38"/>
      <c r="AY92" s="38"/>
      <c r="AZ92" s="38"/>
      <c r="BA92" s="38"/>
      <c r="BB92" s="38"/>
      <c r="BC92" s="38"/>
      <c r="BD92" s="38"/>
    </row>
    <row r="93" spans="1:56" ht="18" hidden="1" customHeight="1">
      <c r="A93" s="139">
        <v>27</v>
      </c>
      <c r="B93" s="142" t="e">
        <f>#REF!</f>
        <v>#REF!</v>
      </c>
      <c r="C93" s="101"/>
      <c r="D93" s="101"/>
      <c r="E93" s="102"/>
      <c r="F93" s="104"/>
      <c r="G93" s="94"/>
      <c r="H93" s="94"/>
      <c r="I93" s="94"/>
      <c r="J93" s="94"/>
      <c r="K93" s="94"/>
      <c r="L93" s="94"/>
      <c r="M93" s="94"/>
      <c r="N93" s="94"/>
      <c r="O93" s="94"/>
      <c r="P93" s="152" t="str">
        <f t="shared" si="17"/>
        <v/>
      </c>
      <c r="Q93" s="140" t="str">
        <f t="shared" si="11"/>
        <v/>
      </c>
      <c r="R93" s="153" t="str">
        <f t="shared" si="12"/>
        <v/>
      </c>
      <c r="S93" s="157"/>
      <c r="T93" s="94"/>
      <c r="U93" s="94"/>
      <c r="V93" s="94"/>
      <c r="W93" s="94"/>
      <c r="X93" s="94"/>
      <c r="Y93" s="94"/>
      <c r="Z93" s="94"/>
      <c r="AA93" s="94"/>
      <c r="AB93" s="94"/>
      <c r="AC93" s="152" t="str">
        <f t="shared" si="18"/>
        <v/>
      </c>
      <c r="AD93" s="140" t="str">
        <f t="shared" si="19"/>
        <v/>
      </c>
      <c r="AE93" s="153" t="str">
        <f t="shared" si="20"/>
        <v/>
      </c>
      <c r="AF93" s="158"/>
      <c r="AG93" s="140" t="str">
        <f t="shared" si="21"/>
        <v/>
      </c>
      <c r="AH93" s="153" t="str">
        <f t="shared" si="22"/>
        <v/>
      </c>
      <c r="AI93" s="156" t="str">
        <f t="shared" si="14"/>
        <v/>
      </c>
      <c r="AJ93" s="141" t="str">
        <f t="shared" si="16"/>
        <v/>
      </c>
      <c r="AL93" s="40"/>
      <c r="AO93" s="38"/>
      <c r="AP93" s="38"/>
      <c r="AQ93" s="38"/>
      <c r="AR93" s="38"/>
      <c r="AS93" s="38"/>
      <c r="AT93" s="38"/>
      <c r="AU93" s="38"/>
      <c r="AV93" s="38"/>
      <c r="AW93" s="38"/>
      <c r="AX93" s="38"/>
      <c r="AY93" s="38"/>
      <c r="AZ93" s="38"/>
      <c r="BA93" s="38"/>
      <c r="BB93" s="38"/>
      <c r="BC93" s="38"/>
      <c r="BD93" s="38"/>
    </row>
    <row r="94" spans="1:56" ht="18" hidden="1" customHeight="1">
      <c r="A94" s="139">
        <v>28</v>
      </c>
      <c r="B94" s="128" t="e">
        <f>#REF!</f>
        <v>#REF!</v>
      </c>
      <c r="C94" s="101"/>
      <c r="D94" s="101"/>
      <c r="E94" s="102"/>
      <c r="F94" s="104"/>
      <c r="G94" s="94"/>
      <c r="H94" s="94"/>
      <c r="I94" s="94"/>
      <c r="J94" s="94"/>
      <c r="K94" s="94"/>
      <c r="L94" s="94"/>
      <c r="M94" s="94"/>
      <c r="N94" s="94"/>
      <c r="O94" s="94"/>
      <c r="P94" s="152" t="str">
        <f t="shared" si="17"/>
        <v/>
      </c>
      <c r="Q94" s="140" t="str">
        <f t="shared" si="11"/>
        <v/>
      </c>
      <c r="R94" s="153" t="str">
        <f t="shared" si="12"/>
        <v/>
      </c>
      <c r="S94" s="157"/>
      <c r="T94" s="94"/>
      <c r="U94" s="94"/>
      <c r="V94" s="94"/>
      <c r="W94" s="94"/>
      <c r="X94" s="94"/>
      <c r="Y94" s="94"/>
      <c r="Z94" s="94"/>
      <c r="AA94" s="94"/>
      <c r="AB94" s="94"/>
      <c r="AC94" s="152" t="str">
        <f t="shared" si="18"/>
        <v/>
      </c>
      <c r="AD94" s="140" t="str">
        <f t="shared" si="19"/>
        <v/>
      </c>
      <c r="AE94" s="153" t="str">
        <f t="shared" si="20"/>
        <v/>
      </c>
      <c r="AF94" s="158"/>
      <c r="AG94" s="140" t="str">
        <f t="shared" si="21"/>
        <v/>
      </c>
      <c r="AH94" s="153" t="str">
        <f t="shared" si="22"/>
        <v/>
      </c>
      <c r="AI94" s="156" t="str">
        <f t="shared" si="14"/>
        <v/>
      </c>
      <c r="AJ94" s="141" t="str">
        <f t="shared" si="16"/>
        <v/>
      </c>
      <c r="AL94" s="40"/>
      <c r="AO94" s="38"/>
      <c r="AP94" s="38"/>
      <c r="AQ94" s="38"/>
      <c r="AR94" s="38"/>
      <c r="AS94" s="38"/>
      <c r="AT94" s="38"/>
      <c r="AU94" s="38"/>
      <c r="AV94" s="38"/>
      <c r="AW94" s="38"/>
      <c r="AX94" s="38"/>
      <c r="AY94" s="38"/>
      <c r="AZ94" s="38"/>
      <c r="BA94" s="38"/>
      <c r="BB94" s="38"/>
      <c r="BC94" s="38"/>
      <c r="BD94" s="38"/>
    </row>
    <row r="95" spans="1:56" ht="18" hidden="1" customHeight="1">
      <c r="A95" s="139">
        <v>29</v>
      </c>
      <c r="B95" s="128" t="e">
        <f>#REF!</f>
        <v>#REF!</v>
      </c>
      <c r="C95" s="101"/>
      <c r="D95" s="101"/>
      <c r="E95" s="102"/>
      <c r="F95" s="104"/>
      <c r="G95" s="94"/>
      <c r="H95" s="94"/>
      <c r="I95" s="94"/>
      <c r="J95" s="94"/>
      <c r="K95" s="94"/>
      <c r="L95" s="94"/>
      <c r="M95" s="94"/>
      <c r="N95" s="94"/>
      <c r="O95" s="94"/>
      <c r="P95" s="152" t="str">
        <f t="shared" si="17"/>
        <v/>
      </c>
      <c r="Q95" s="140" t="str">
        <f t="shared" si="11"/>
        <v/>
      </c>
      <c r="R95" s="153" t="str">
        <f t="shared" si="12"/>
        <v/>
      </c>
      <c r="S95" s="157"/>
      <c r="T95" s="94"/>
      <c r="U95" s="94"/>
      <c r="V95" s="94"/>
      <c r="W95" s="94"/>
      <c r="X95" s="94"/>
      <c r="Y95" s="94"/>
      <c r="Z95" s="94"/>
      <c r="AA95" s="94"/>
      <c r="AB95" s="94"/>
      <c r="AC95" s="152" t="str">
        <f t="shared" si="18"/>
        <v/>
      </c>
      <c r="AD95" s="140" t="str">
        <f t="shared" si="19"/>
        <v/>
      </c>
      <c r="AE95" s="153" t="str">
        <f t="shared" si="20"/>
        <v/>
      </c>
      <c r="AF95" s="158"/>
      <c r="AG95" s="140" t="str">
        <f t="shared" si="21"/>
        <v/>
      </c>
      <c r="AH95" s="153" t="str">
        <f t="shared" si="22"/>
        <v/>
      </c>
      <c r="AI95" s="156" t="str">
        <f t="shared" si="14"/>
        <v/>
      </c>
      <c r="AJ95" s="141" t="str">
        <f t="shared" si="16"/>
        <v/>
      </c>
      <c r="AL95" s="40"/>
      <c r="AO95" s="38"/>
      <c r="AP95" s="38"/>
      <c r="AQ95" s="38"/>
      <c r="AR95" s="38"/>
      <c r="AS95" s="38"/>
      <c r="AT95" s="38"/>
      <c r="AU95" s="38"/>
      <c r="AV95" s="38"/>
      <c r="AW95" s="38"/>
      <c r="AX95" s="38"/>
      <c r="AY95" s="38"/>
      <c r="AZ95" s="38"/>
      <c r="BA95" s="38"/>
      <c r="BB95" s="38"/>
      <c r="BC95" s="38"/>
      <c r="BD95" s="38"/>
    </row>
    <row r="96" spans="1:56" ht="18" hidden="1" customHeight="1">
      <c r="A96" s="139">
        <v>30</v>
      </c>
      <c r="B96" s="142" t="e">
        <f>#REF!</f>
        <v>#REF!</v>
      </c>
      <c r="C96" s="101"/>
      <c r="D96" s="101"/>
      <c r="E96" s="102"/>
      <c r="F96" s="104"/>
      <c r="G96" s="94"/>
      <c r="H96" s="94"/>
      <c r="I96" s="94"/>
      <c r="J96" s="94"/>
      <c r="K96" s="94"/>
      <c r="L96" s="94"/>
      <c r="M96" s="94"/>
      <c r="N96" s="94"/>
      <c r="O96" s="94"/>
      <c r="P96" s="152" t="str">
        <f t="shared" si="17"/>
        <v/>
      </c>
      <c r="Q96" s="140" t="str">
        <f t="shared" si="11"/>
        <v/>
      </c>
      <c r="R96" s="153" t="str">
        <f t="shared" si="12"/>
        <v/>
      </c>
      <c r="S96" s="157"/>
      <c r="T96" s="94"/>
      <c r="U96" s="94"/>
      <c r="V96" s="94"/>
      <c r="W96" s="94"/>
      <c r="X96" s="94"/>
      <c r="Y96" s="94"/>
      <c r="Z96" s="94"/>
      <c r="AA96" s="94"/>
      <c r="AB96" s="94"/>
      <c r="AC96" s="152" t="str">
        <f t="shared" si="18"/>
        <v/>
      </c>
      <c r="AD96" s="140" t="str">
        <f t="shared" si="19"/>
        <v/>
      </c>
      <c r="AE96" s="153" t="str">
        <f t="shared" si="20"/>
        <v/>
      </c>
      <c r="AF96" s="158"/>
      <c r="AG96" s="140" t="str">
        <f t="shared" si="21"/>
        <v/>
      </c>
      <c r="AH96" s="153" t="str">
        <f t="shared" si="22"/>
        <v/>
      </c>
      <c r="AI96" s="156" t="str">
        <f t="shared" si="14"/>
        <v/>
      </c>
      <c r="AJ96" s="141" t="str">
        <f t="shared" si="16"/>
        <v/>
      </c>
      <c r="AL96" s="40"/>
      <c r="AO96" s="38"/>
      <c r="AP96" s="38"/>
      <c r="AQ96" s="38"/>
      <c r="AR96" s="38"/>
      <c r="AS96" s="38"/>
      <c r="AT96" s="38"/>
      <c r="AU96" s="38"/>
      <c r="AV96" s="38"/>
      <c r="AW96" s="38"/>
      <c r="AX96" s="38"/>
      <c r="AY96" s="38"/>
      <c r="AZ96" s="38"/>
      <c r="BA96" s="38"/>
      <c r="BB96" s="38"/>
      <c r="BC96" s="38"/>
      <c r="BD96" s="38"/>
    </row>
    <row r="97" spans="1:56" ht="18" hidden="1" customHeight="1">
      <c r="A97" s="139">
        <v>31</v>
      </c>
      <c r="B97" s="142" t="e">
        <f>#REF!</f>
        <v>#REF!</v>
      </c>
      <c r="C97" s="101"/>
      <c r="D97" s="101"/>
      <c r="E97" s="102"/>
      <c r="F97" s="104"/>
      <c r="G97" s="94"/>
      <c r="H97" s="94"/>
      <c r="I97" s="94"/>
      <c r="J97" s="94"/>
      <c r="K97" s="94"/>
      <c r="L97" s="94"/>
      <c r="M97" s="94"/>
      <c r="N97" s="94"/>
      <c r="O97" s="94"/>
      <c r="P97" s="152" t="str">
        <f t="shared" si="17"/>
        <v/>
      </c>
      <c r="Q97" s="140" t="str">
        <f t="shared" si="11"/>
        <v/>
      </c>
      <c r="R97" s="153" t="str">
        <f t="shared" si="12"/>
        <v/>
      </c>
      <c r="S97" s="157"/>
      <c r="T97" s="94"/>
      <c r="U97" s="94"/>
      <c r="V97" s="94"/>
      <c r="W97" s="94"/>
      <c r="X97" s="94"/>
      <c r="Y97" s="94"/>
      <c r="Z97" s="94"/>
      <c r="AA97" s="94"/>
      <c r="AB97" s="94"/>
      <c r="AC97" s="152" t="str">
        <f t="shared" si="18"/>
        <v/>
      </c>
      <c r="AD97" s="140" t="str">
        <f t="shared" si="19"/>
        <v/>
      </c>
      <c r="AE97" s="153" t="str">
        <f t="shared" si="20"/>
        <v/>
      </c>
      <c r="AF97" s="158"/>
      <c r="AG97" s="140" t="str">
        <f t="shared" si="21"/>
        <v/>
      </c>
      <c r="AH97" s="153" t="str">
        <f t="shared" si="22"/>
        <v/>
      </c>
      <c r="AI97" s="156" t="str">
        <f t="shared" si="14"/>
        <v/>
      </c>
      <c r="AJ97" s="141" t="str">
        <f t="shared" si="16"/>
        <v/>
      </c>
      <c r="AL97" s="40"/>
      <c r="AO97" s="38"/>
      <c r="AP97" s="38"/>
      <c r="AQ97" s="38"/>
      <c r="AR97" s="38"/>
      <c r="AS97" s="38"/>
      <c r="AT97" s="38"/>
      <c r="AU97" s="38"/>
      <c r="AV97" s="38"/>
      <c r="AW97" s="38"/>
      <c r="AX97" s="38"/>
      <c r="AY97" s="38"/>
      <c r="AZ97" s="38"/>
      <c r="BA97" s="38"/>
      <c r="BB97" s="38"/>
      <c r="BC97" s="38"/>
      <c r="BD97" s="38"/>
    </row>
    <row r="98" spans="1:56" ht="18" hidden="1" customHeight="1">
      <c r="A98" s="139">
        <v>32</v>
      </c>
      <c r="B98" s="128" t="e">
        <f>#REF!</f>
        <v>#REF!</v>
      </c>
      <c r="C98" s="101"/>
      <c r="D98" s="101"/>
      <c r="E98" s="102"/>
      <c r="F98" s="104"/>
      <c r="G98" s="94"/>
      <c r="H98" s="94"/>
      <c r="I98" s="94"/>
      <c r="J98" s="94"/>
      <c r="K98" s="94"/>
      <c r="L98" s="94"/>
      <c r="M98" s="94"/>
      <c r="N98" s="94"/>
      <c r="O98" s="94"/>
      <c r="P98" s="152" t="str">
        <f t="shared" si="17"/>
        <v/>
      </c>
      <c r="Q98" s="140" t="str">
        <f t="shared" si="11"/>
        <v/>
      </c>
      <c r="R98" s="153" t="str">
        <f t="shared" si="12"/>
        <v/>
      </c>
      <c r="S98" s="157"/>
      <c r="T98" s="94"/>
      <c r="U98" s="94"/>
      <c r="V98" s="94"/>
      <c r="W98" s="94"/>
      <c r="X98" s="94"/>
      <c r="Y98" s="94"/>
      <c r="Z98" s="94"/>
      <c r="AA98" s="94"/>
      <c r="AB98" s="94"/>
      <c r="AC98" s="152" t="str">
        <f t="shared" si="18"/>
        <v/>
      </c>
      <c r="AD98" s="140" t="str">
        <f t="shared" si="19"/>
        <v/>
      </c>
      <c r="AE98" s="153" t="str">
        <f t="shared" si="20"/>
        <v/>
      </c>
      <c r="AF98" s="158"/>
      <c r="AG98" s="140" t="str">
        <f t="shared" si="21"/>
        <v/>
      </c>
      <c r="AH98" s="153" t="str">
        <f t="shared" si="22"/>
        <v/>
      </c>
      <c r="AI98" s="156" t="str">
        <f t="shared" si="14"/>
        <v/>
      </c>
      <c r="AJ98" s="141" t="str">
        <f t="shared" si="16"/>
        <v/>
      </c>
      <c r="AL98" s="40"/>
      <c r="AO98" s="38"/>
      <c r="AP98" s="38"/>
      <c r="AQ98" s="38"/>
      <c r="AR98" s="38"/>
      <c r="AS98" s="38"/>
      <c r="AT98" s="38"/>
      <c r="AU98" s="38"/>
      <c r="AV98" s="38"/>
      <c r="AW98" s="38"/>
      <c r="AX98" s="38"/>
      <c r="AY98" s="38"/>
      <c r="AZ98" s="38"/>
      <c r="BA98" s="38"/>
      <c r="BB98" s="38"/>
      <c r="BC98" s="38"/>
      <c r="BD98" s="38"/>
    </row>
    <row r="99" spans="1:56" ht="18" hidden="1" customHeight="1">
      <c r="A99" s="139">
        <v>33</v>
      </c>
      <c r="B99" s="128" t="e">
        <f>#REF!</f>
        <v>#REF!</v>
      </c>
      <c r="C99" s="101"/>
      <c r="D99" s="101"/>
      <c r="E99" s="102"/>
      <c r="F99" s="104"/>
      <c r="G99" s="94"/>
      <c r="H99" s="94"/>
      <c r="I99" s="94"/>
      <c r="J99" s="94"/>
      <c r="K99" s="94"/>
      <c r="L99" s="94"/>
      <c r="M99" s="94"/>
      <c r="N99" s="94"/>
      <c r="O99" s="94"/>
      <c r="P99" s="152" t="str">
        <f t="shared" si="17"/>
        <v/>
      </c>
      <c r="Q99" s="140" t="str">
        <f t="shared" si="11"/>
        <v/>
      </c>
      <c r="R99" s="153" t="str">
        <f t="shared" si="12"/>
        <v/>
      </c>
      <c r="S99" s="157"/>
      <c r="T99" s="94"/>
      <c r="U99" s="94"/>
      <c r="V99" s="94"/>
      <c r="W99" s="94"/>
      <c r="X99" s="94"/>
      <c r="Y99" s="94"/>
      <c r="Z99" s="94"/>
      <c r="AA99" s="94"/>
      <c r="AB99" s="94"/>
      <c r="AC99" s="152" t="str">
        <f t="shared" si="18"/>
        <v/>
      </c>
      <c r="AD99" s="140" t="str">
        <f t="shared" si="19"/>
        <v/>
      </c>
      <c r="AE99" s="153" t="str">
        <f t="shared" si="20"/>
        <v/>
      </c>
      <c r="AF99" s="158"/>
      <c r="AG99" s="140" t="str">
        <f t="shared" si="21"/>
        <v/>
      </c>
      <c r="AH99" s="153" t="str">
        <f t="shared" si="22"/>
        <v/>
      </c>
      <c r="AI99" s="156" t="str">
        <f t="shared" si="14"/>
        <v/>
      </c>
      <c r="AJ99" s="141" t="str">
        <f t="shared" si="16"/>
        <v/>
      </c>
      <c r="AL99" s="40"/>
      <c r="AO99" s="38"/>
      <c r="AP99" s="38"/>
      <c r="AQ99" s="38"/>
      <c r="AR99" s="38"/>
      <c r="AS99" s="38"/>
      <c r="AT99" s="38"/>
      <c r="AU99" s="38"/>
      <c r="AV99" s="38"/>
      <c r="AW99" s="38"/>
      <c r="AX99" s="38"/>
      <c r="AY99" s="38"/>
      <c r="AZ99" s="38"/>
      <c r="BA99" s="38"/>
      <c r="BB99" s="38"/>
      <c r="BC99" s="38"/>
      <c r="BD99" s="38"/>
    </row>
    <row r="100" spans="1:56" ht="18" hidden="1" customHeight="1">
      <c r="A100" s="139">
        <v>34</v>
      </c>
      <c r="B100" s="142" t="e">
        <f>#REF!</f>
        <v>#REF!</v>
      </c>
      <c r="C100" s="101"/>
      <c r="D100" s="101"/>
      <c r="E100" s="102"/>
      <c r="F100" s="104"/>
      <c r="G100" s="94"/>
      <c r="H100" s="94"/>
      <c r="I100" s="94"/>
      <c r="J100" s="94"/>
      <c r="K100" s="94"/>
      <c r="L100" s="94"/>
      <c r="M100" s="94"/>
      <c r="N100" s="94"/>
      <c r="O100" s="94"/>
      <c r="P100" s="152" t="str">
        <f t="shared" si="17"/>
        <v/>
      </c>
      <c r="Q100" s="140" t="str">
        <f t="shared" ref="Q100:Q116" si="23">IF(ISERROR(IF($P100="","",ROUND(($P100/$P$10)*$Q$10,2))),"",IF($P100="","",ROUND(($P100/$P$10)*$Q$10,2)))</f>
        <v/>
      </c>
      <c r="R100" s="153" t="str">
        <f t="shared" ref="R100:R116" si="24">IF($Q100="","",ROUND($Q100*$R$10,2))</f>
        <v/>
      </c>
      <c r="S100" s="157"/>
      <c r="T100" s="94"/>
      <c r="U100" s="94"/>
      <c r="V100" s="94"/>
      <c r="W100" s="94"/>
      <c r="X100" s="94"/>
      <c r="Y100" s="94"/>
      <c r="Z100" s="94"/>
      <c r="AA100" s="94"/>
      <c r="AB100" s="94"/>
      <c r="AC100" s="152" t="str">
        <f t="shared" si="18"/>
        <v/>
      </c>
      <c r="AD100" s="140" t="str">
        <f t="shared" si="19"/>
        <v/>
      </c>
      <c r="AE100" s="153" t="str">
        <f t="shared" si="20"/>
        <v/>
      </c>
      <c r="AF100" s="158"/>
      <c r="AG100" s="140" t="str">
        <f t="shared" si="21"/>
        <v/>
      </c>
      <c r="AH100" s="153" t="str">
        <f t="shared" si="22"/>
        <v/>
      </c>
      <c r="AI100" s="156" t="str">
        <f t="shared" si="14"/>
        <v/>
      </c>
      <c r="AJ100" s="141" t="str">
        <f t="shared" si="16"/>
        <v/>
      </c>
      <c r="AL100" s="40"/>
      <c r="AO100" s="38"/>
      <c r="AP100" s="38"/>
      <c r="AQ100" s="38"/>
      <c r="AR100" s="38"/>
      <c r="AS100" s="38"/>
      <c r="AT100" s="38"/>
      <c r="AU100" s="38"/>
      <c r="AV100" s="38"/>
      <c r="AW100" s="38"/>
      <c r="AX100" s="38"/>
      <c r="AY100" s="38"/>
      <c r="AZ100" s="38"/>
      <c r="BA100" s="38"/>
      <c r="BB100" s="38"/>
      <c r="BC100" s="38"/>
      <c r="BD100" s="38"/>
    </row>
    <row r="101" spans="1:56" ht="18" hidden="1" customHeight="1">
      <c r="A101" s="139">
        <v>35</v>
      </c>
      <c r="B101" s="142" t="e">
        <f>#REF!</f>
        <v>#REF!</v>
      </c>
      <c r="C101" s="101"/>
      <c r="D101" s="101"/>
      <c r="E101" s="102"/>
      <c r="F101" s="104"/>
      <c r="G101" s="94"/>
      <c r="H101" s="94"/>
      <c r="I101" s="94"/>
      <c r="J101" s="94"/>
      <c r="K101" s="94"/>
      <c r="L101" s="94"/>
      <c r="M101" s="94"/>
      <c r="N101" s="94"/>
      <c r="O101" s="94"/>
      <c r="P101" s="152" t="str">
        <f t="shared" si="17"/>
        <v/>
      </c>
      <c r="Q101" s="140" t="str">
        <f t="shared" si="23"/>
        <v/>
      </c>
      <c r="R101" s="153" t="str">
        <f t="shared" si="24"/>
        <v/>
      </c>
      <c r="S101" s="157"/>
      <c r="T101" s="94"/>
      <c r="U101" s="94"/>
      <c r="V101" s="94"/>
      <c r="W101" s="94"/>
      <c r="X101" s="94"/>
      <c r="Y101" s="94"/>
      <c r="Z101" s="94"/>
      <c r="AA101" s="94"/>
      <c r="AB101" s="94"/>
      <c r="AC101" s="152" t="str">
        <f t="shared" si="18"/>
        <v/>
      </c>
      <c r="AD101" s="140" t="str">
        <f t="shared" si="19"/>
        <v/>
      </c>
      <c r="AE101" s="153" t="str">
        <f t="shared" si="20"/>
        <v/>
      </c>
      <c r="AF101" s="158"/>
      <c r="AG101" s="140" t="str">
        <f t="shared" si="21"/>
        <v/>
      </c>
      <c r="AH101" s="153" t="str">
        <f t="shared" si="22"/>
        <v/>
      </c>
      <c r="AI101" s="156" t="str">
        <f t="shared" si="14"/>
        <v/>
      </c>
      <c r="AJ101" s="141" t="str">
        <f t="shared" si="16"/>
        <v/>
      </c>
      <c r="AL101" s="40"/>
      <c r="AO101" s="38"/>
      <c r="AP101" s="38"/>
      <c r="AQ101" s="38"/>
      <c r="AR101" s="38"/>
      <c r="AS101" s="38"/>
      <c r="AT101" s="38"/>
      <c r="AU101" s="38"/>
      <c r="AV101" s="38"/>
      <c r="AW101" s="38"/>
      <c r="AX101" s="38"/>
      <c r="AY101" s="38"/>
      <c r="AZ101" s="38"/>
      <c r="BA101" s="38"/>
      <c r="BB101" s="38"/>
      <c r="BC101" s="38"/>
      <c r="BD101" s="38"/>
    </row>
    <row r="102" spans="1:56" ht="18" hidden="1" customHeight="1">
      <c r="A102" s="139">
        <v>36</v>
      </c>
      <c r="B102" s="128" t="e">
        <f>#REF!</f>
        <v>#REF!</v>
      </c>
      <c r="C102" s="101"/>
      <c r="D102" s="101"/>
      <c r="E102" s="102"/>
      <c r="F102" s="104"/>
      <c r="G102" s="94"/>
      <c r="H102" s="94"/>
      <c r="I102" s="94"/>
      <c r="J102" s="94"/>
      <c r="K102" s="94"/>
      <c r="L102" s="94"/>
      <c r="M102" s="94"/>
      <c r="N102" s="94"/>
      <c r="O102" s="94"/>
      <c r="P102" s="152" t="str">
        <f t="shared" si="17"/>
        <v/>
      </c>
      <c r="Q102" s="140" t="str">
        <f t="shared" si="23"/>
        <v/>
      </c>
      <c r="R102" s="153" t="str">
        <f t="shared" si="24"/>
        <v/>
      </c>
      <c r="S102" s="157"/>
      <c r="T102" s="94"/>
      <c r="U102" s="94"/>
      <c r="V102" s="94"/>
      <c r="W102" s="94"/>
      <c r="X102" s="94"/>
      <c r="Y102" s="94"/>
      <c r="Z102" s="94"/>
      <c r="AA102" s="94"/>
      <c r="AB102" s="94"/>
      <c r="AC102" s="152" t="str">
        <f t="shared" si="18"/>
        <v/>
      </c>
      <c r="AD102" s="140" t="str">
        <f t="shared" si="19"/>
        <v/>
      </c>
      <c r="AE102" s="153" t="str">
        <f t="shared" si="20"/>
        <v/>
      </c>
      <c r="AF102" s="158"/>
      <c r="AG102" s="140" t="str">
        <f t="shared" si="21"/>
        <v/>
      </c>
      <c r="AH102" s="153" t="str">
        <f t="shared" si="22"/>
        <v/>
      </c>
      <c r="AI102" s="156" t="str">
        <f t="shared" ref="AI102:AI116" si="25">IF(ISERROR(IF($AF102="","",ROUND(SUM($R102,$AE102,$AH102),2))),"",IF($AF102="","",ROUND(SUM($R102,$AE102,$AH102),2)))</f>
        <v/>
      </c>
      <c r="AJ102" s="141" t="str">
        <f t="shared" si="16"/>
        <v/>
      </c>
      <c r="AL102" s="40"/>
      <c r="AO102" s="38"/>
      <c r="AP102" s="38"/>
      <c r="AQ102" s="38"/>
      <c r="AR102" s="38"/>
      <c r="AS102" s="38"/>
      <c r="AT102" s="38"/>
      <c r="AU102" s="38"/>
      <c r="AV102" s="38"/>
      <c r="AW102" s="38"/>
      <c r="AX102" s="38"/>
      <c r="AY102" s="38"/>
      <c r="AZ102" s="38"/>
      <c r="BA102" s="38"/>
      <c r="BB102" s="38"/>
      <c r="BC102" s="38"/>
      <c r="BD102" s="38"/>
    </row>
    <row r="103" spans="1:56" ht="18" hidden="1" customHeight="1">
      <c r="A103" s="139">
        <v>37</v>
      </c>
      <c r="B103" s="128" t="e">
        <f>#REF!</f>
        <v>#REF!</v>
      </c>
      <c r="C103" s="101"/>
      <c r="D103" s="101"/>
      <c r="E103" s="102"/>
      <c r="F103" s="104"/>
      <c r="G103" s="94"/>
      <c r="H103" s="94"/>
      <c r="I103" s="94"/>
      <c r="J103" s="94"/>
      <c r="K103" s="94"/>
      <c r="L103" s="94"/>
      <c r="M103" s="94"/>
      <c r="N103" s="94"/>
      <c r="O103" s="94"/>
      <c r="P103" s="152" t="str">
        <f t="shared" si="17"/>
        <v/>
      </c>
      <c r="Q103" s="140" t="str">
        <f t="shared" si="23"/>
        <v/>
      </c>
      <c r="R103" s="153" t="str">
        <f t="shared" si="24"/>
        <v/>
      </c>
      <c r="S103" s="157"/>
      <c r="T103" s="94"/>
      <c r="U103" s="94"/>
      <c r="V103" s="94"/>
      <c r="W103" s="94"/>
      <c r="X103" s="94"/>
      <c r="Y103" s="94"/>
      <c r="Z103" s="94"/>
      <c r="AA103" s="94"/>
      <c r="AB103" s="94"/>
      <c r="AC103" s="152" t="str">
        <f t="shared" si="18"/>
        <v/>
      </c>
      <c r="AD103" s="140" t="str">
        <f t="shared" si="19"/>
        <v/>
      </c>
      <c r="AE103" s="153" t="str">
        <f t="shared" si="20"/>
        <v/>
      </c>
      <c r="AF103" s="158"/>
      <c r="AG103" s="140" t="str">
        <f t="shared" si="21"/>
        <v/>
      </c>
      <c r="AH103" s="153" t="str">
        <f t="shared" si="22"/>
        <v/>
      </c>
      <c r="AI103" s="156" t="str">
        <f t="shared" si="25"/>
        <v/>
      </c>
      <c r="AJ103" s="141" t="str">
        <f t="shared" si="16"/>
        <v/>
      </c>
      <c r="AL103" s="40"/>
      <c r="AO103" s="38"/>
      <c r="AP103" s="38"/>
      <c r="AQ103" s="38"/>
      <c r="AR103" s="38"/>
      <c r="AS103" s="38"/>
      <c r="AT103" s="38"/>
      <c r="AU103" s="38"/>
      <c r="AV103" s="38"/>
      <c r="AW103" s="38"/>
      <c r="AX103" s="38"/>
      <c r="AY103" s="38"/>
      <c r="AZ103" s="38"/>
      <c r="BA103" s="38"/>
      <c r="BB103" s="38"/>
      <c r="BC103" s="38"/>
      <c r="BD103" s="38"/>
    </row>
    <row r="104" spans="1:56" ht="18" hidden="1" customHeight="1">
      <c r="A104" s="139">
        <v>38</v>
      </c>
      <c r="B104" s="142" t="e">
        <f>#REF!</f>
        <v>#REF!</v>
      </c>
      <c r="C104" s="101"/>
      <c r="D104" s="101"/>
      <c r="E104" s="102"/>
      <c r="F104" s="104"/>
      <c r="G104" s="94"/>
      <c r="H104" s="94"/>
      <c r="I104" s="94"/>
      <c r="J104" s="94"/>
      <c r="K104" s="94"/>
      <c r="L104" s="94"/>
      <c r="M104" s="94"/>
      <c r="N104" s="94"/>
      <c r="O104" s="94"/>
      <c r="P104" s="152" t="str">
        <f t="shared" si="17"/>
        <v/>
      </c>
      <c r="Q104" s="140" t="str">
        <f t="shared" si="23"/>
        <v/>
      </c>
      <c r="R104" s="153" t="str">
        <f t="shared" si="24"/>
        <v/>
      </c>
      <c r="S104" s="157"/>
      <c r="T104" s="94"/>
      <c r="U104" s="94"/>
      <c r="V104" s="94"/>
      <c r="W104" s="94"/>
      <c r="X104" s="94"/>
      <c r="Y104" s="94"/>
      <c r="Z104" s="94"/>
      <c r="AA104" s="94"/>
      <c r="AB104" s="94"/>
      <c r="AC104" s="152" t="str">
        <f t="shared" si="18"/>
        <v/>
      </c>
      <c r="AD104" s="140" t="str">
        <f t="shared" si="19"/>
        <v/>
      </c>
      <c r="AE104" s="153" t="str">
        <f t="shared" si="20"/>
        <v/>
      </c>
      <c r="AF104" s="158"/>
      <c r="AG104" s="140" t="str">
        <f t="shared" si="21"/>
        <v/>
      </c>
      <c r="AH104" s="153" t="str">
        <f t="shared" si="22"/>
        <v/>
      </c>
      <c r="AI104" s="156" t="str">
        <f t="shared" si="25"/>
        <v/>
      </c>
      <c r="AJ104" s="141" t="str">
        <f t="shared" si="16"/>
        <v/>
      </c>
      <c r="AL104" s="40"/>
      <c r="AO104" s="38"/>
      <c r="AP104" s="38"/>
      <c r="AQ104" s="38"/>
      <c r="AR104" s="38"/>
      <c r="AS104" s="38"/>
      <c r="AT104" s="38"/>
      <c r="AU104" s="38"/>
      <c r="AV104" s="38"/>
      <c r="AW104" s="38"/>
      <c r="AX104" s="38"/>
      <c r="AY104" s="38"/>
      <c r="AZ104" s="38"/>
      <c r="BA104" s="38"/>
      <c r="BB104" s="38"/>
      <c r="BC104" s="38"/>
      <c r="BD104" s="38"/>
    </row>
    <row r="105" spans="1:56" ht="18" hidden="1" customHeight="1">
      <c r="A105" s="139">
        <v>39</v>
      </c>
      <c r="B105" s="142" t="e">
        <f>#REF!</f>
        <v>#REF!</v>
      </c>
      <c r="C105" s="101"/>
      <c r="D105" s="101"/>
      <c r="E105" s="102"/>
      <c r="F105" s="104"/>
      <c r="G105" s="94"/>
      <c r="H105" s="94"/>
      <c r="I105" s="94"/>
      <c r="J105" s="94"/>
      <c r="K105" s="94"/>
      <c r="L105" s="94"/>
      <c r="M105" s="94"/>
      <c r="N105" s="94"/>
      <c r="O105" s="94"/>
      <c r="P105" s="152" t="str">
        <f t="shared" si="17"/>
        <v/>
      </c>
      <c r="Q105" s="140" t="str">
        <f t="shared" si="23"/>
        <v/>
      </c>
      <c r="R105" s="153" t="str">
        <f t="shared" si="24"/>
        <v/>
      </c>
      <c r="S105" s="157"/>
      <c r="T105" s="94"/>
      <c r="U105" s="94"/>
      <c r="V105" s="94"/>
      <c r="W105" s="94"/>
      <c r="X105" s="94"/>
      <c r="Y105" s="94"/>
      <c r="Z105" s="94"/>
      <c r="AA105" s="94"/>
      <c r="AB105" s="94"/>
      <c r="AC105" s="152" t="str">
        <f t="shared" si="18"/>
        <v/>
      </c>
      <c r="AD105" s="140" t="str">
        <f t="shared" si="19"/>
        <v/>
      </c>
      <c r="AE105" s="153" t="str">
        <f t="shared" si="20"/>
        <v/>
      </c>
      <c r="AF105" s="158"/>
      <c r="AG105" s="140" t="str">
        <f t="shared" si="21"/>
        <v/>
      </c>
      <c r="AH105" s="153" t="str">
        <f t="shared" si="22"/>
        <v/>
      </c>
      <c r="AI105" s="156" t="str">
        <f t="shared" si="25"/>
        <v/>
      </c>
      <c r="AJ105" s="141" t="str">
        <f t="shared" si="16"/>
        <v/>
      </c>
      <c r="AL105" s="40"/>
      <c r="AO105" s="38"/>
      <c r="AP105" s="38"/>
      <c r="AQ105" s="38"/>
      <c r="AR105" s="38"/>
      <c r="AS105" s="38"/>
      <c r="AT105" s="38"/>
      <c r="AU105" s="38"/>
      <c r="AV105" s="38"/>
      <c r="AW105" s="38"/>
      <c r="AX105" s="38"/>
      <c r="AY105" s="38"/>
      <c r="AZ105" s="38"/>
      <c r="BA105" s="38"/>
      <c r="BB105" s="38"/>
      <c r="BC105" s="38"/>
      <c r="BD105" s="38"/>
    </row>
    <row r="106" spans="1:56" ht="18" hidden="1" customHeight="1">
      <c r="A106" s="139">
        <v>40</v>
      </c>
      <c r="B106" s="128" t="e">
        <f>#REF!</f>
        <v>#REF!</v>
      </c>
      <c r="C106" s="101"/>
      <c r="D106" s="101"/>
      <c r="E106" s="102"/>
      <c r="F106" s="104"/>
      <c r="G106" s="94"/>
      <c r="H106" s="94"/>
      <c r="I106" s="94"/>
      <c r="J106" s="94"/>
      <c r="K106" s="94"/>
      <c r="L106" s="94"/>
      <c r="M106" s="94"/>
      <c r="N106" s="94"/>
      <c r="O106" s="94"/>
      <c r="P106" s="152" t="str">
        <f t="shared" si="17"/>
        <v/>
      </c>
      <c r="Q106" s="140" t="str">
        <f t="shared" si="23"/>
        <v/>
      </c>
      <c r="R106" s="153" t="str">
        <f t="shared" si="24"/>
        <v/>
      </c>
      <c r="S106" s="157"/>
      <c r="T106" s="94"/>
      <c r="U106" s="94"/>
      <c r="V106" s="94"/>
      <c r="W106" s="94"/>
      <c r="X106" s="94"/>
      <c r="Y106" s="94"/>
      <c r="Z106" s="94"/>
      <c r="AA106" s="94"/>
      <c r="AB106" s="94"/>
      <c r="AC106" s="152" t="str">
        <f t="shared" si="18"/>
        <v/>
      </c>
      <c r="AD106" s="140" t="str">
        <f t="shared" si="19"/>
        <v/>
      </c>
      <c r="AE106" s="153" t="str">
        <f t="shared" si="20"/>
        <v/>
      </c>
      <c r="AF106" s="158"/>
      <c r="AG106" s="140" t="str">
        <f t="shared" si="21"/>
        <v/>
      </c>
      <c r="AH106" s="153" t="str">
        <f t="shared" si="22"/>
        <v/>
      </c>
      <c r="AI106" s="156" t="str">
        <f t="shared" si="25"/>
        <v/>
      </c>
      <c r="AJ106" s="141" t="str">
        <f t="shared" si="16"/>
        <v/>
      </c>
      <c r="AL106" s="40"/>
      <c r="AO106" s="38"/>
      <c r="AP106" s="38"/>
      <c r="AQ106" s="38"/>
      <c r="AR106" s="38"/>
      <c r="AS106" s="38"/>
      <c r="AT106" s="38"/>
      <c r="AU106" s="38"/>
      <c r="AV106" s="38"/>
      <c r="AW106" s="38"/>
      <c r="AX106" s="38"/>
      <c r="AY106" s="38"/>
      <c r="AZ106" s="38"/>
      <c r="BA106" s="38"/>
      <c r="BB106" s="38"/>
      <c r="BC106" s="38"/>
      <c r="BD106" s="38"/>
    </row>
    <row r="107" spans="1:56" ht="18" hidden="1" customHeight="1">
      <c r="A107" s="139">
        <v>41</v>
      </c>
      <c r="B107" s="128" t="e">
        <f>#REF!</f>
        <v>#REF!</v>
      </c>
      <c r="C107" s="101"/>
      <c r="D107" s="101"/>
      <c r="E107" s="102"/>
      <c r="F107" s="104"/>
      <c r="G107" s="94"/>
      <c r="H107" s="94"/>
      <c r="I107" s="94"/>
      <c r="J107" s="94"/>
      <c r="K107" s="94"/>
      <c r="L107" s="94"/>
      <c r="M107" s="94"/>
      <c r="N107" s="94"/>
      <c r="O107" s="94"/>
      <c r="P107" s="152" t="str">
        <f t="shared" si="17"/>
        <v/>
      </c>
      <c r="Q107" s="140" t="str">
        <f t="shared" si="23"/>
        <v/>
      </c>
      <c r="R107" s="153" t="str">
        <f t="shared" si="24"/>
        <v/>
      </c>
      <c r="S107" s="157"/>
      <c r="T107" s="94"/>
      <c r="U107" s="94"/>
      <c r="V107" s="94"/>
      <c r="W107" s="94"/>
      <c r="X107" s="94"/>
      <c r="Y107" s="94"/>
      <c r="Z107" s="94"/>
      <c r="AA107" s="94"/>
      <c r="AB107" s="94"/>
      <c r="AC107" s="152" t="str">
        <f t="shared" si="18"/>
        <v/>
      </c>
      <c r="AD107" s="140" t="str">
        <f t="shared" si="19"/>
        <v/>
      </c>
      <c r="AE107" s="153" t="str">
        <f t="shared" si="20"/>
        <v/>
      </c>
      <c r="AF107" s="158"/>
      <c r="AG107" s="140" t="str">
        <f t="shared" si="21"/>
        <v/>
      </c>
      <c r="AH107" s="153" t="str">
        <f t="shared" si="22"/>
        <v/>
      </c>
      <c r="AI107" s="156" t="str">
        <f t="shared" si="25"/>
        <v/>
      </c>
      <c r="AJ107" s="141" t="str">
        <f t="shared" si="16"/>
        <v/>
      </c>
      <c r="AL107" s="40"/>
      <c r="AO107" s="38"/>
      <c r="AP107" s="38"/>
      <c r="AQ107" s="38"/>
      <c r="AR107" s="38"/>
      <c r="AS107" s="38"/>
      <c r="AT107" s="38"/>
      <c r="AU107" s="38"/>
      <c r="AV107" s="38"/>
      <c r="AW107" s="38"/>
      <c r="AX107" s="38"/>
      <c r="AY107" s="38"/>
      <c r="AZ107" s="38"/>
      <c r="BA107" s="38"/>
      <c r="BB107" s="38"/>
      <c r="BC107" s="38"/>
      <c r="BD107" s="38"/>
    </row>
    <row r="108" spans="1:56" ht="18" hidden="1" customHeight="1">
      <c r="A108" s="139">
        <v>42</v>
      </c>
      <c r="B108" s="142" t="e">
        <f>#REF!</f>
        <v>#REF!</v>
      </c>
      <c r="C108" s="101"/>
      <c r="D108" s="101"/>
      <c r="E108" s="102"/>
      <c r="F108" s="104"/>
      <c r="G108" s="94"/>
      <c r="H108" s="94"/>
      <c r="I108" s="94"/>
      <c r="J108" s="94"/>
      <c r="K108" s="94"/>
      <c r="L108" s="94"/>
      <c r="M108" s="94"/>
      <c r="N108" s="94"/>
      <c r="O108" s="94"/>
      <c r="P108" s="152" t="str">
        <f t="shared" si="17"/>
        <v/>
      </c>
      <c r="Q108" s="140" t="str">
        <f t="shared" si="23"/>
        <v/>
      </c>
      <c r="R108" s="153" t="str">
        <f t="shared" si="24"/>
        <v/>
      </c>
      <c r="S108" s="157"/>
      <c r="T108" s="94"/>
      <c r="U108" s="94"/>
      <c r="V108" s="94"/>
      <c r="W108" s="94"/>
      <c r="X108" s="94"/>
      <c r="Y108" s="94"/>
      <c r="Z108" s="94"/>
      <c r="AA108" s="94"/>
      <c r="AB108" s="94"/>
      <c r="AC108" s="152" t="str">
        <f t="shared" si="18"/>
        <v/>
      </c>
      <c r="AD108" s="140" t="str">
        <f t="shared" si="19"/>
        <v/>
      </c>
      <c r="AE108" s="153" t="str">
        <f t="shared" si="20"/>
        <v/>
      </c>
      <c r="AF108" s="158"/>
      <c r="AG108" s="140" t="str">
        <f t="shared" si="21"/>
        <v/>
      </c>
      <c r="AH108" s="153" t="str">
        <f t="shared" si="22"/>
        <v/>
      </c>
      <c r="AI108" s="156" t="str">
        <f t="shared" si="25"/>
        <v/>
      </c>
      <c r="AJ108" s="141" t="str">
        <f t="shared" si="16"/>
        <v/>
      </c>
      <c r="AL108" s="40"/>
      <c r="AO108" s="38"/>
      <c r="AP108" s="38"/>
      <c r="AQ108" s="38"/>
      <c r="AR108" s="38"/>
      <c r="AS108" s="38"/>
      <c r="AT108" s="38"/>
      <c r="AU108" s="38"/>
      <c r="AV108" s="38"/>
      <c r="AW108" s="38"/>
      <c r="AX108" s="38"/>
      <c r="AY108" s="38"/>
      <c r="AZ108" s="38"/>
      <c r="BA108" s="38"/>
      <c r="BB108" s="38"/>
      <c r="BC108" s="38"/>
      <c r="BD108" s="38"/>
    </row>
    <row r="109" spans="1:56" ht="18" hidden="1" customHeight="1">
      <c r="A109" s="139">
        <v>43</v>
      </c>
      <c r="B109" s="142" t="e">
        <f>#REF!</f>
        <v>#REF!</v>
      </c>
      <c r="C109" s="101"/>
      <c r="D109" s="101"/>
      <c r="E109" s="102"/>
      <c r="F109" s="104"/>
      <c r="G109" s="94"/>
      <c r="H109" s="94"/>
      <c r="I109" s="94"/>
      <c r="J109" s="94"/>
      <c r="K109" s="94"/>
      <c r="L109" s="94"/>
      <c r="M109" s="94"/>
      <c r="N109" s="94"/>
      <c r="O109" s="94"/>
      <c r="P109" s="152" t="str">
        <f t="shared" si="17"/>
        <v/>
      </c>
      <c r="Q109" s="140" t="str">
        <f t="shared" si="23"/>
        <v/>
      </c>
      <c r="R109" s="153" t="str">
        <f t="shared" si="24"/>
        <v/>
      </c>
      <c r="S109" s="157"/>
      <c r="T109" s="94"/>
      <c r="U109" s="94"/>
      <c r="V109" s="94"/>
      <c r="W109" s="94"/>
      <c r="X109" s="94"/>
      <c r="Y109" s="94"/>
      <c r="Z109" s="94"/>
      <c r="AA109" s="94"/>
      <c r="AB109" s="94"/>
      <c r="AC109" s="152" t="str">
        <f t="shared" si="18"/>
        <v/>
      </c>
      <c r="AD109" s="140" t="str">
        <f t="shared" si="19"/>
        <v/>
      </c>
      <c r="AE109" s="153" t="str">
        <f t="shared" si="20"/>
        <v/>
      </c>
      <c r="AF109" s="158"/>
      <c r="AG109" s="140" t="str">
        <f t="shared" si="21"/>
        <v/>
      </c>
      <c r="AH109" s="153" t="str">
        <f t="shared" si="22"/>
        <v/>
      </c>
      <c r="AI109" s="156" t="str">
        <f t="shared" si="25"/>
        <v/>
      </c>
      <c r="AJ109" s="141" t="str">
        <f t="shared" si="16"/>
        <v/>
      </c>
      <c r="AL109" s="40"/>
      <c r="AO109" s="38"/>
      <c r="AP109" s="38"/>
      <c r="AQ109" s="38"/>
      <c r="AR109" s="38"/>
      <c r="AS109" s="38"/>
      <c r="AT109" s="38"/>
      <c r="AU109" s="38"/>
      <c r="AV109" s="38"/>
      <c r="AW109" s="38"/>
      <c r="AX109" s="38"/>
      <c r="AY109" s="38"/>
      <c r="AZ109" s="38"/>
      <c r="BA109" s="38"/>
      <c r="BB109" s="38"/>
      <c r="BC109" s="38"/>
      <c r="BD109" s="38"/>
    </row>
    <row r="110" spans="1:56" ht="18" hidden="1" customHeight="1">
      <c r="A110" s="139">
        <v>44</v>
      </c>
      <c r="B110" s="128" t="e">
        <f>#REF!</f>
        <v>#REF!</v>
      </c>
      <c r="C110" s="101"/>
      <c r="D110" s="101"/>
      <c r="E110" s="102"/>
      <c r="F110" s="104"/>
      <c r="G110" s="94"/>
      <c r="H110" s="94"/>
      <c r="I110" s="94"/>
      <c r="J110" s="94"/>
      <c r="K110" s="94"/>
      <c r="L110" s="94"/>
      <c r="M110" s="94"/>
      <c r="N110" s="94"/>
      <c r="O110" s="94"/>
      <c r="P110" s="152" t="str">
        <f t="shared" si="17"/>
        <v/>
      </c>
      <c r="Q110" s="140" t="str">
        <f t="shared" si="23"/>
        <v/>
      </c>
      <c r="R110" s="153" t="str">
        <f t="shared" si="24"/>
        <v/>
      </c>
      <c r="S110" s="157"/>
      <c r="T110" s="94"/>
      <c r="U110" s="94"/>
      <c r="V110" s="94"/>
      <c r="W110" s="94"/>
      <c r="X110" s="94"/>
      <c r="Y110" s="94"/>
      <c r="Z110" s="94"/>
      <c r="AA110" s="94"/>
      <c r="AB110" s="94"/>
      <c r="AC110" s="152" t="str">
        <f t="shared" si="18"/>
        <v/>
      </c>
      <c r="AD110" s="140" t="str">
        <f t="shared" si="19"/>
        <v/>
      </c>
      <c r="AE110" s="153" t="str">
        <f t="shared" si="20"/>
        <v/>
      </c>
      <c r="AF110" s="158"/>
      <c r="AG110" s="140" t="str">
        <f t="shared" si="21"/>
        <v/>
      </c>
      <c r="AH110" s="153" t="str">
        <f t="shared" si="22"/>
        <v/>
      </c>
      <c r="AI110" s="156" t="str">
        <f t="shared" si="25"/>
        <v/>
      </c>
      <c r="AJ110" s="141" t="str">
        <f t="shared" si="16"/>
        <v/>
      </c>
      <c r="AL110" s="40"/>
      <c r="AO110" s="38"/>
      <c r="AP110" s="38"/>
      <c r="AQ110" s="38"/>
      <c r="AR110" s="38"/>
      <c r="AS110" s="38"/>
      <c r="AT110" s="38"/>
      <c r="AU110" s="38"/>
      <c r="AV110" s="38"/>
      <c r="AW110" s="38"/>
      <c r="AX110" s="38"/>
      <c r="AY110" s="38"/>
      <c r="AZ110" s="38"/>
      <c r="BA110" s="38"/>
      <c r="BB110" s="38"/>
      <c r="BC110" s="38"/>
      <c r="BD110" s="38"/>
    </row>
    <row r="111" spans="1:56" ht="18" hidden="1" customHeight="1">
      <c r="A111" s="139">
        <v>45</v>
      </c>
      <c r="B111" s="128" t="e">
        <f>#REF!</f>
        <v>#REF!</v>
      </c>
      <c r="C111" s="101"/>
      <c r="D111" s="101"/>
      <c r="E111" s="102"/>
      <c r="F111" s="104"/>
      <c r="G111" s="94"/>
      <c r="H111" s="94"/>
      <c r="I111" s="94"/>
      <c r="J111" s="94"/>
      <c r="K111" s="94"/>
      <c r="L111" s="94"/>
      <c r="M111" s="94"/>
      <c r="N111" s="94"/>
      <c r="O111" s="94"/>
      <c r="P111" s="152" t="str">
        <f t="shared" si="17"/>
        <v/>
      </c>
      <c r="Q111" s="140" t="str">
        <f t="shared" si="23"/>
        <v/>
      </c>
      <c r="R111" s="153" t="str">
        <f t="shared" si="24"/>
        <v/>
      </c>
      <c r="S111" s="157"/>
      <c r="T111" s="94"/>
      <c r="U111" s="94"/>
      <c r="V111" s="94"/>
      <c r="W111" s="94"/>
      <c r="X111" s="94"/>
      <c r="Y111" s="94"/>
      <c r="Z111" s="94"/>
      <c r="AA111" s="94"/>
      <c r="AB111" s="94"/>
      <c r="AC111" s="152" t="str">
        <f t="shared" si="18"/>
        <v/>
      </c>
      <c r="AD111" s="140" t="str">
        <f t="shared" si="19"/>
        <v/>
      </c>
      <c r="AE111" s="153" t="str">
        <f t="shared" si="20"/>
        <v/>
      </c>
      <c r="AF111" s="158"/>
      <c r="AG111" s="140" t="str">
        <f t="shared" si="21"/>
        <v/>
      </c>
      <c r="AH111" s="153" t="str">
        <f t="shared" si="22"/>
        <v/>
      </c>
      <c r="AI111" s="156" t="str">
        <f t="shared" si="25"/>
        <v/>
      </c>
      <c r="AJ111" s="141" t="str">
        <f t="shared" si="16"/>
        <v/>
      </c>
      <c r="AL111" s="40"/>
      <c r="AO111" s="38"/>
      <c r="AP111" s="38"/>
      <c r="AQ111" s="38"/>
      <c r="AR111" s="38"/>
      <c r="AS111" s="38"/>
      <c r="AT111" s="38"/>
      <c r="AU111" s="38"/>
      <c r="AV111" s="38"/>
      <c r="AW111" s="38"/>
      <c r="AX111" s="38"/>
      <c r="AY111" s="38"/>
      <c r="AZ111" s="38"/>
      <c r="BA111" s="38"/>
      <c r="BB111" s="38"/>
      <c r="BC111" s="38"/>
      <c r="BD111" s="38"/>
    </row>
    <row r="112" spans="1:56" ht="18" hidden="1" customHeight="1">
      <c r="A112" s="139">
        <v>46</v>
      </c>
      <c r="B112" s="142" t="e">
        <f>#REF!</f>
        <v>#REF!</v>
      </c>
      <c r="C112" s="101"/>
      <c r="D112" s="101"/>
      <c r="E112" s="102"/>
      <c r="F112" s="104"/>
      <c r="G112" s="94"/>
      <c r="H112" s="94"/>
      <c r="I112" s="94"/>
      <c r="J112" s="94"/>
      <c r="K112" s="94"/>
      <c r="L112" s="94"/>
      <c r="M112" s="94"/>
      <c r="N112" s="94"/>
      <c r="O112" s="94"/>
      <c r="P112" s="152" t="str">
        <f t="shared" si="17"/>
        <v/>
      </c>
      <c r="Q112" s="140" t="str">
        <f t="shared" si="23"/>
        <v/>
      </c>
      <c r="R112" s="153" t="str">
        <f t="shared" si="24"/>
        <v/>
      </c>
      <c r="S112" s="157"/>
      <c r="T112" s="94"/>
      <c r="U112" s="94"/>
      <c r="V112" s="94"/>
      <c r="W112" s="94"/>
      <c r="X112" s="94"/>
      <c r="Y112" s="94"/>
      <c r="Z112" s="94"/>
      <c r="AA112" s="94"/>
      <c r="AB112" s="94"/>
      <c r="AC112" s="152" t="str">
        <f t="shared" si="18"/>
        <v/>
      </c>
      <c r="AD112" s="140" t="str">
        <f t="shared" si="19"/>
        <v/>
      </c>
      <c r="AE112" s="153" t="str">
        <f t="shared" si="20"/>
        <v/>
      </c>
      <c r="AF112" s="158"/>
      <c r="AG112" s="140" t="str">
        <f t="shared" si="21"/>
        <v/>
      </c>
      <c r="AH112" s="153" t="str">
        <f t="shared" si="22"/>
        <v/>
      </c>
      <c r="AI112" s="156" t="str">
        <f t="shared" si="25"/>
        <v/>
      </c>
      <c r="AJ112" s="141" t="str">
        <f t="shared" si="16"/>
        <v/>
      </c>
      <c r="AL112" s="40"/>
      <c r="AO112" s="38"/>
      <c r="AP112" s="38"/>
      <c r="AQ112" s="38"/>
      <c r="AR112" s="38"/>
      <c r="AS112" s="38"/>
      <c r="AT112" s="38"/>
      <c r="AU112" s="38"/>
      <c r="AV112" s="38"/>
      <c r="AW112" s="38"/>
      <c r="AX112" s="38"/>
      <c r="AY112" s="38"/>
      <c r="AZ112" s="38"/>
      <c r="BA112" s="38"/>
      <c r="BB112" s="38"/>
      <c r="BC112" s="38"/>
      <c r="BD112" s="38"/>
    </row>
    <row r="113" spans="1:56" ht="18" hidden="1" customHeight="1">
      <c r="A113" s="139">
        <v>47</v>
      </c>
      <c r="B113" s="142" t="e">
        <f>#REF!</f>
        <v>#REF!</v>
      </c>
      <c r="C113" s="101"/>
      <c r="D113" s="101"/>
      <c r="E113" s="102"/>
      <c r="F113" s="104"/>
      <c r="G113" s="94"/>
      <c r="H113" s="94"/>
      <c r="I113" s="94"/>
      <c r="J113" s="94"/>
      <c r="K113" s="94"/>
      <c r="L113" s="94"/>
      <c r="M113" s="94"/>
      <c r="N113" s="94"/>
      <c r="O113" s="94"/>
      <c r="P113" s="152" t="str">
        <f t="shared" si="17"/>
        <v/>
      </c>
      <c r="Q113" s="140" t="str">
        <f t="shared" si="23"/>
        <v/>
      </c>
      <c r="R113" s="153" t="str">
        <f t="shared" si="24"/>
        <v/>
      </c>
      <c r="S113" s="157"/>
      <c r="T113" s="94"/>
      <c r="U113" s="94"/>
      <c r="V113" s="94"/>
      <c r="W113" s="94"/>
      <c r="X113" s="94"/>
      <c r="Y113" s="94"/>
      <c r="Z113" s="94"/>
      <c r="AA113" s="94"/>
      <c r="AB113" s="94"/>
      <c r="AC113" s="152" t="str">
        <f t="shared" si="18"/>
        <v/>
      </c>
      <c r="AD113" s="140" t="str">
        <f t="shared" si="19"/>
        <v/>
      </c>
      <c r="AE113" s="153" t="str">
        <f t="shared" si="20"/>
        <v/>
      </c>
      <c r="AF113" s="158"/>
      <c r="AG113" s="140" t="str">
        <f t="shared" si="21"/>
        <v/>
      </c>
      <c r="AH113" s="153" t="str">
        <f t="shared" si="22"/>
        <v/>
      </c>
      <c r="AI113" s="156" t="str">
        <f t="shared" si="25"/>
        <v/>
      </c>
      <c r="AJ113" s="141" t="str">
        <f t="shared" si="16"/>
        <v/>
      </c>
      <c r="AL113" s="40"/>
      <c r="AO113" s="38"/>
      <c r="AP113" s="38"/>
      <c r="AQ113" s="38"/>
      <c r="AR113" s="38"/>
      <c r="AS113" s="38"/>
      <c r="AT113" s="38"/>
      <c r="AU113" s="38"/>
      <c r="AV113" s="38"/>
      <c r="AW113" s="38"/>
      <c r="AX113" s="38"/>
      <c r="AY113" s="38"/>
      <c r="AZ113" s="38"/>
      <c r="BA113" s="38"/>
      <c r="BB113" s="38"/>
      <c r="BC113" s="38"/>
      <c r="BD113" s="38"/>
    </row>
    <row r="114" spans="1:56" ht="18" hidden="1" customHeight="1">
      <c r="A114" s="139">
        <v>48</v>
      </c>
      <c r="B114" s="128" t="e">
        <f>#REF!</f>
        <v>#REF!</v>
      </c>
      <c r="C114" s="101"/>
      <c r="D114" s="101"/>
      <c r="E114" s="102"/>
      <c r="F114" s="104"/>
      <c r="G114" s="94"/>
      <c r="H114" s="94"/>
      <c r="I114" s="94"/>
      <c r="J114" s="94"/>
      <c r="K114" s="94"/>
      <c r="L114" s="94"/>
      <c r="M114" s="94"/>
      <c r="N114" s="94"/>
      <c r="O114" s="94"/>
      <c r="P114" s="152" t="str">
        <f t="shared" si="17"/>
        <v/>
      </c>
      <c r="Q114" s="140" t="str">
        <f t="shared" si="23"/>
        <v/>
      </c>
      <c r="R114" s="153" t="str">
        <f t="shared" si="24"/>
        <v/>
      </c>
      <c r="S114" s="157"/>
      <c r="T114" s="94"/>
      <c r="U114" s="94"/>
      <c r="V114" s="94"/>
      <c r="W114" s="94"/>
      <c r="X114" s="94"/>
      <c r="Y114" s="94"/>
      <c r="Z114" s="94"/>
      <c r="AA114" s="94"/>
      <c r="AB114" s="94"/>
      <c r="AC114" s="152" t="str">
        <f t="shared" si="18"/>
        <v/>
      </c>
      <c r="AD114" s="140" t="str">
        <f t="shared" si="19"/>
        <v/>
      </c>
      <c r="AE114" s="153" t="str">
        <f t="shared" si="20"/>
        <v/>
      </c>
      <c r="AF114" s="158"/>
      <c r="AG114" s="140" t="str">
        <f t="shared" si="21"/>
        <v/>
      </c>
      <c r="AH114" s="153" t="str">
        <f t="shared" si="22"/>
        <v/>
      </c>
      <c r="AI114" s="156" t="str">
        <f t="shared" si="25"/>
        <v/>
      </c>
      <c r="AJ114" s="141" t="str">
        <f t="shared" si="16"/>
        <v/>
      </c>
      <c r="AL114" s="40"/>
      <c r="AO114" s="38"/>
      <c r="AP114" s="38"/>
      <c r="AQ114" s="38"/>
      <c r="AR114" s="38"/>
      <c r="AS114" s="38"/>
      <c r="AT114" s="38"/>
      <c r="AU114" s="38"/>
      <c r="AV114" s="38"/>
      <c r="AW114" s="38"/>
      <c r="AX114" s="38"/>
      <c r="AY114" s="38"/>
      <c r="AZ114" s="38"/>
      <c r="BA114" s="38"/>
      <c r="BB114" s="38"/>
      <c r="BC114" s="38"/>
      <c r="BD114" s="38"/>
    </row>
    <row r="115" spans="1:56" ht="18" hidden="1" customHeight="1">
      <c r="A115" s="139">
        <v>49</v>
      </c>
      <c r="B115" s="128" t="e">
        <f>#REF!</f>
        <v>#REF!</v>
      </c>
      <c r="C115" s="101"/>
      <c r="D115" s="101"/>
      <c r="E115" s="102"/>
      <c r="F115" s="104"/>
      <c r="G115" s="94"/>
      <c r="H115" s="94"/>
      <c r="I115" s="94"/>
      <c r="J115" s="94"/>
      <c r="K115" s="94"/>
      <c r="L115" s="94"/>
      <c r="M115" s="94"/>
      <c r="N115" s="94"/>
      <c r="O115" s="94"/>
      <c r="P115" s="152" t="str">
        <f t="shared" si="17"/>
        <v/>
      </c>
      <c r="Q115" s="140" t="str">
        <f t="shared" si="23"/>
        <v/>
      </c>
      <c r="R115" s="153" t="str">
        <f t="shared" si="24"/>
        <v/>
      </c>
      <c r="S115" s="157"/>
      <c r="T115" s="94"/>
      <c r="U115" s="94"/>
      <c r="V115" s="94"/>
      <c r="W115" s="94"/>
      <c r="X115" s="94"/>
      <c r="Y115" s="94"/>
      <c r="Z115" s="94"/>
      <c r="AA115" s="94"/>
      <c r="AB115" s="94"/>
      <c r="AC115" s="152" t="str">
        <f t="shared" si="18"/>
        <v/>
      </c>
      <c r="AD115" s="140" t="str">
        <f t="shared" si="19"/>
        <v/>
      </c>
      <c r="AE115" s="153" t="str">
        <f t="shared" si="20"/>
        <v/>
      </c>
      <c r="AF115" s="158"/>
      <c r="AG115" s="140" t="str">
        <f t="shared" si="21"/>
        <v/>
      </c>
      <c r="AH115" s="153" t="str">
        <f t="shared" si="22"/>
        <v/>
      </c>
      <c r="AI115" s="156" t="str">
        <f t="shared" si="25"/>
        <v/>
      </c>
      <c r="AJ115" s="141" t="str">
        <f t="shared" si="16"/>
        <v/>
      </c>
      <c r="AO115" s="38"/>
      <c r="AP115" s="38"/>
      <c r="AQ115" s="38"/>
      <c r="AR115" s="38"/>
      <c r="AS115" s="38"/>
      <c r="AT115" s="38"/>
      <c r="AU115" s="38"/>
      <c r="AV115" s="38"/>
      <c r="AW115" s="38"/>
      <c r="AX115" s="38"/>
      <c r="AY115" s="38"/>
      <c r="AZ115" s="38"/>
      <c r="BA115" s="38"/>
      <c r="BB115" s="38"/>
      <c r="BC115" s="38"/>
      <c r="BD115" s="38"/>
    </row>
    <row r="116" spans="1:56" ht="18" hidden="1" customHeight="1" thickBot="1">
      <c r="A116" s="180">
        <v>50</v>
      </c>
      <c r="B116" s="181" t="e">
        <f>#REF!</f>
        <v>#REF!</v>
      </c>
      <c r="C116" s="182"/>
      <c r="D116" s="182"/>
      <c r="E116" s="183"/>
      <c r="F116" s="146"/>
      <c r="G116" s="147"/>
      <c r="H116" s="147"/>
      <c r="I116" s="147"/>
      <c r="J116" s="147"/>
      <c r="K116" s="147"/>
      <c r="L116" s="147"/>
      <c r="M116" s="147"/>
      <c r="N116" s="147"/>
      <c r="O116" s="147"/>
      <c r="P116" s="184" t="str">
        <f t="shared" si="17"/>
        <v/>
      </c>
      <c r="Q116" s="185" t="str">
        <f t="shared" si="23"/>
        <v/>
      </c>
      <c r="R116" s="186" t="str">
        <f t="shared" si="24"/>
        <v/>
      </c>
      <c r="S116" s="187"/>
      <c r="T116" s="147"/>
      <c r="U116" s="147"/>
      <c r="V116" s="147"/>
      <c r="W116" s="147"/>
      <c r="X116" s="147"/>
      <c r="Y116" s="147"/>
      <c r="Z116" s="147"/>
      <c r="AA116" s="147"/>
      <c r="AB116" s="147"/>
      <c r="AC116" s="184" t="str">
        <f t="shared" si="18"/>
        <v/>
      </c>
      <c r="AD116" s="185" t="str">
        <f t="shared" si="19"/>
        <v/>
      </c>
      <c r="AE116" s="186" t="str">
        <f t="shared" si="20"/>
        <v/>
      </c>
      <c r="AF116" s="188"/>
      <c r="AG116" s="185" t="str">
        <f t="shared" si="21"/>
        <v/>
      </c>
      <c r="AH116" s="186" t="str">
        <f t="shared" si="22"/>
        <v/>
      </c>
      <c r="AI116" s="189" t="str">
        <f t="shared" si="25"/>
        <v/>
      </c>
      <c r="AJ116" s="190" t="str">
        <f t="shared" si="16"/>
        <v/>
      </c>
      <c r="AO116" s="38"/>
      <c r="AP116" s="38"/>
      <c r="AQ116" s="38"/>
      <c r="AR116" s="38"/>
      <c r="AS116" s="38"/>
      <c r="AT116" s="38"/>
      <c r="AU116" s="38"/>
      <c r="AV116" s="38"/>
      <c r="AW116" s="38"/>
      <c r="AX116" s="38"/>
      <c r="AY116" s="38"/>
      <c r="AZ116" s="38"/>
      <c r="BA116" s="38"/>
      <c r="BB116" s="38"/>
      <c r="BC116" s="38"/>
      <c r="BD116" s="38"/>
    </row>
    <row r="123" spans="1:56" s="40" customFormat="1" hidden="1">
      <c r="Q123" s="48"/>
      <c r="R123" s="48"/>
      <c r="AD123" s="48"/>
      <c r="AE123" s="48"/>
      <c r="AG123" s="48"/>
      <c r="AH123" s="48"/>
      <c r="AI123" s="48"/>
      <c r="AJ123" s="49"/>
      <c r="AN123" s="49"/>
      <c r="AO123" s="49"/>
      <c r="AP123" s="49"/>
      <c r="AQ123" s="49"/>
      <c r="AR123" s="49"/>
      <c r="AS123" s="49"/>
      <c r="AT123" s="49"/>
      <c r="AU123" s="49"/>
      <c r="AV123" s="49"/>
      <c r="AW123" s="49"/>
      <c r="AX123" s="49"/>
      <c r="AY123" s="49"/>
      <c r="AZ123" s="49"/>
      <c r="BA123" s="49"/>
      <c r="BB123" s="49"/>
      <c r="BC123" s="49"/>
      <c r="BD123" s="49"/>
    </row>
  </sheetData>
  <sheetProtection formatCells="0" formatColumns="0" formatRows="0"/>
  <dataConsolidate link="1"/>
  <mergeCells count="46">
    <mergeCell ref="AG5:AI5"/>
    <mergeCell ref="A1:AJ2"/>
    <mergeCell ref="A3:AJ3"/>
    <mergeCell ref="C4:F4"/>
    <mergeCell ref="G4:J4"/>
    <mergeCell ref="L4:N4"/>
    <mergeCell ref="O4:R4"/>
    <mergeCell ref="T4:W4"/>
    <mergeCell ref="X4:AC4"/>
    <mergeCell ref="B5:F5"/>
    <mergeCell ref="G5:R5"/>
    <mergeCell ref="T5:W5"/>
    <mergeCell ref="X5:AC5"/>
    <mergeCell ref="AD5:AF5"/>
    <mergeCell ref="AG7:AJ7"/>
    <mergeCell ref="B8:E8"/>
    <mergeCell ref="F8:R8"/>
    <mergeCell ref="S8:AE8"/>
    <mergeCell ref="AF8:AH8"/>
    <mergeCell ref="A7:E7"/>
    <mergeCell ref="F7:J7"/>
    <mergeCell ref="K7:P7"/>
    <mergeCell ref="Q7:R7"/>
    <mergeCell ref="S7:AB7"/>
    <mergeCell ref="AC7:AF7"/>
    <mergeCell ref="AN21:BF21"/>
    <mergeCell ref="AN9:BF9"/>
    <mergeCell ref="B10:E10"/>
    <mergeCell ref="B11:E11"/>
    <mergeCell ref="AN12:BF12"/>
    <mergeCell ref="AN13:BF13"/>
    <mergeCell ref="AN14:BF14"/>
    <mergeCell ref="AI9:AI10"/>
    <mergeCell ref="AJ9:AJ10"/>
    <mergeCell ref="AN16:BF16"/>
    <mergeCell ref="AN17:BF17"/>
    <mergeCell ref="AN18:BF18"/>
    <mergeCell ref="AN19:BF19"/>
    <mergeCell ref="AN20:BF20"/>
    <mergeCell ref="B66:E66"/>
    <mergeCell ref="AN22:BF22"/>
    <mergeCell ref="AN23:BF23"/>
    <mergeCell ref="AN24:BF24"/>
    <mergeCell ref="AN25:BF25"/>
    <mergeCell ref="AN26:BF26"/>
    <mergeCell ref="B34:E34"/>
  </mergeCells>
  <dataValidations xWindow="1079" yWindow="616" count="66">
    <dataValidation allowBlank="1" showErrorMessage="1" sqref="A11:XFD11 A66:XFD66" xr:uid="{17B509B2-2478-4B2A-A95E-E173E436DC9F}"/>
    <dataValidation type="whole" operator="lessThanOrEqual" allowBlank="1" showInputMessage="1" showErrorMessage="1" error="INPUT NUMBER LESS THAN OR EQUAL THE HPS" prompt="Encode Quarterly Assessment's Highest Possible Score" sqref="AF67:AF116 AF12:AF65" xr:uid="{C579720B-41EB-4189-A8C7-BCBEDC29FC23}">
      <formula1>$AF$10</formula1>
    </dataValidation>
    <dataValidation type="whole" operator="lessThanOrEqual" allowBlank="1" showInputMessage="1" showErrorMessage="1" error="INPUT NUMBER LESS THAN OR EQUAL THE HPS" prompt="Encode learner's raw score." sqref="S67:AB116 F12:O65 F67:O116 S12:AB65" xr:uid="{636669FC-B8F5-4A17-8B8C-AFFB78F4BD66}">
      <formula1>F$10</formula1>
    </dataValidation>
    <dataValidation allowBlank="1" showInputMessage="1" prompt="QUARTERLY GRADE (TRANSMUTED GRADE)" sqref="AJ67:AJ116 AJ12:AJ65" xr:uid="{C79AA6F0-F2DA-40AC-9907-0929EFBB7C5D}"/>
    <dataValidation allowBlank="1" showInputMessage="1" prompt="INITIAL GRADE" sqref="AI67:AI116 AI12:AI65" xr:uid="{CB0CB81D-2213-4660-91B5-5F3437AF7A17}"/>
    <dataValidation allowBlank="1" showInputMessage="1" prompt="Quarterly Assessment's Weighted Score" sqref="AH10 AH67:AH116 AH12:AH65" xr:uid="{C998963C-BF4C-437A-A3C8-F1A09CB6C9DD}"/>
    <dataValidation allowBlank="1" showInputMessage="1" showErrorMessage="1" prompt="Quarterly Assessment's Weighted Score" sqref="AH10" xr:uid="{749C3151-A0F0-4EB2-A42A-672EE0D33943}"/>
    <dataValidation allowBlank="1" showInputMessage="1" prompt="Quarterly Assessment's Percentage Score" sqref="AG10 AG67:AG116 AG12:AG65" xr:uid="{2E47724B-99E5-49A1-A877-C0EF38D482E3}"/>
    <dataValidation allowBlank="1" showInputMessage="1" showErrorMessage="1" prompt="Quarterly Assessment's Percentage Score" sqref="AG10" xr:uid="{DDF2AFE1-3C74-4BBE-9ADD-10FD9564E0F4}"/>
    <dataValidation allowBlank="1" showInputMessage="1" prompt="Encode Quarterly Assessment's Highest Possible Score" sqref="AF10" xr:uid="{133D2CD3-905E-4F70-AAE0-55F64E644816}"/>
    <dataValidation allowBlank="1" showInputMessage="1" prompt="Either encode Highest Possible Score or Empty" sqref="S10:AB10 F10:O10" xr:uid="{7E778A83-D1D9-45F3-90E9-54E726BF11AF}"/>
    <dataValidation allowBlank="1" showInputMessage="1" showErrorMessage="1" prompt="Either encode Highest Possible Score or Empty" sqref="S10:AB10 F10:O10" xr:uid="{696B1F50-F9F2-49A0-BB8B-C91943C8C6FA}"/>
    <dataValidation allowBlank="1" showInputMessage="1" showErrorMessage="1" prompt="Encode Quarterly Assessment's Highest Possible Score" sqref="AF10" xr:uid="{74BEE301-4589-46A1-8D16-EAD24089C9C6}"/>
    <dataValidation allowBlank="1" showInputMessage="1" prompt="Performance Tasks' Weighted Score" sqref="AE10 AE67:AE116 AE12:AE65" xr:uid="{48E79A4A-31AC-440F-9145-3AE6E9129A6C}"/>
    <dataValidation allowBlank="1" showInputMessage="1" showErrorMessage="1" prompt="Performance Tasks' Weighted Score" sqref="AE10" xr:uid="{AAD6CCE4-FF08-4DF0-B8A8-9B5BC4A88833}"/>
    <dataValidation allowBlank="1" showInputMessage="1" prompt="Written Works' Weighted Score" sqref="R10 R67:R116 R12:R65" xr:uid="{B61DED39-8773-463C-A65B-0DEF195E17CC}"/>
    <dataValidation allowBlank="1" showInputMessage="1" showErrorMessage="1" prompt="Written Works' Weighted Score" sqref="R10" xr:uid="{008EEFF9-D350-4B81-BAEB-D28013C814F6}"/>
    <dataValidation allowBlank="1" showInputMessage="1" prompt="Performance Tasks' Percentage Score" sqref="AD10 AD67:AD116 AD12:AD65" xr:uid="{EF179175-C2B1-41CC-AE2D-DE5802F257D6}"/>
    <dataValidation allowBlank="1" showInputMessage="1" showErrorMessage="1" prompt="Performance Tasks' Percentage Score" sqref="AD10" xr:uid="{0676DA2F-FAD5-4C83-99FC-7298F568A64C}"/>
    <dataValidation allowBlank="1" showInputMessage="1" prompt="Written Works' Percentage Score" sqref="Q10 Q67:Q116 Q12:Q65" xr:uid="{B2D188DA-09B3-4880-ABF6-4986B2656B83}"/>
    <dataValidation allowBlank="1" showInputMessage="1" showErrorMessage="1" prompt="Written Works' Percentage Score" sqref="Q10" xr:uid="{3C64ED71-DF4C-4D93-82E3-C5457D61FDAF}"/>
    <dataValidation allowBlank="1" showInputMessage="1" prompt="Performance Tasks' Highest Possible Score" sqref="AC10" xr:uid="{E0BE848C-DC2C-4CC9-B0C2-0D5656F96C69}"/>
    <dataValidation allowBlank="1" showInputMessage="1" showErrorMessage="1" prompt="Performance Tasks' Total Highest Possible Score" sqref="AC10" xr:uid="{2936E745-1C64-4029-B1BE-D8B24F7553C8}"/>
    <dataValidation allowBlank="1" showInputMessage="1" prompt="Written Works' Total Highest Possible Score" sqref="P10" xr:uid="{078E0D7B-619C-44E4-B570-D582863FD9AE}"/>
    <dataValidation allowBlank="1" showInputMessage="1" showErrorMessage="1" prompt="Written Works' Total Highest Possible Score" sqref="P10" xr:uid="{2EC1AF59-6EB8-4D38-A31F-BF169F3EC865}"/>
    <dataValidation allowBlank="1" showInputMessage="1" prompt="Do not type name of learners here. Go to INPUT DATA sheet." sqref="B67:B116 B12:B65" xr:uid="{7B002CAF-CF7A-4EBE-BC66-B84532681FAD}"/>
    <dataValidation allowBlank="1" showInputMessage="1" showErrorMessage="1" prompt="Performance Tasks' Total Raw Scores" sqref="AC67:AC116 AC12:AC65" xr:uid="{3290673D-8FC4-4D7C-B467-3ED82BEFE9EB}"/>
    <dataValidation allowBlank="1" showInputMessage="1" showErrorMessage="1" prompt="Written Works' Total Raw Score" sqref="P67:P116 P12:P65" xr:uid="{BA15B8D5-F05C-4CE7-8BBF-9080F4D09B95}"/>
    <dataValidation allowBlank="1" sqref="A12:A65 AI10:XFD10 A10:E10 C12:E33 C35:E65" xr:uid="{B2436D02-8BB2-409D-AA5F-C79B43DC911D}"/>
    <dataValidation type="whole" operator="lessThanOrEqual" allowBlank="1" showInputMessage="1" showErrorMessage="1" error="INPUT NUMBER LESS THAN OR EQUAL THE HIGHEST POSSIBLE SCORE" prompt="Input Raw Score" sqref="WWI983056:WWI983156 TS67:TS116 ADO67:ADO116 ANK67:ANK116 AXG67:AXG116 BHC67:BHC116 BQY67:BQY116 CAU67:CAU116 CKQ67:CKQ116 CUM67:CUM116 DEI67:DEI116 DOE67:DOE116 DYA67:DYA116 EHW67:EHW116 ERS67:ERS116 FBO67:FBO116 FLK67:FLK116 FVG67:FVG116 GFC67:GFC116 GOY67:GOY116 GYU67:GYU116 HIQ67:HIQ116 HSM67:HSM116 ICI67:ICI116 IME67:IME116 IWA67:IWA116 JFW67:JFW116 JPS67:JPS116 JZO67:JZO116 KJK67:KJK116 KTG67:KTG116 LDC67:LDC116 LMY67:LMY116 LWU67:LWU116 MGQ67:MGQ116 MQM67:MQM116 NAI67:NAI116 NKE67:NKE116 NUA67:NUA116 ODW67:ODW116 ONS67:ONS116 OXO67:OXO116 PHK67:PHK116 PRG67:PRG116 QBC67:QBC116 QKY67:QKY116 QUU67:QUU116 REQ67:REQ116 ROM67:ROM116 RYI67:RYI116 SIE67:SIE116 SSA67:SSA116 TBW67:TBW116 TLS67:TLS116 TVO67:TVO116 UFK67:UFK116 UPG67:UPG116 UZC67:UZC116 VIY67:VIY116 VSU67:VSU116 WCQ67:WCQ116 WMM67:WMM116 WWI67:WWI116 WMM983056:WMM983156 AA65552:AA65652 JW65552:JW65652 TS65552:TS65652 ADO65552:ADO65652 ANK65552:ANK65652 AXG65552:AXG65652 BHC65552:BHC65652 BQY65552:BQY65652 CAU65552:CAU65652 CKQ65552:CKQ65652 CUM65552:CUM65652 DEI65552:DEI65652 DOE65552:DOE65652 DYA65552:DYA65652 EHW65552:EHW65652 ERS65552:ERS65652 FBO65552:FBO65652 FLK65552:FLK65652 FVG65552:FVG65652 GFC65552:GFC65652 GOY65552:GOY65652 GYU65552:GYU65652 HIQ65552:HIQ65652 HSM65552:HSM65652 ICI65552:ICI65652 IME65552:IME65652 IWA65552:IWA65652 JFW65552:JFW65652 JPS65552:JPS65652 JZO65552:JZO65652 KJK65552:KJK65652 KTG65552:KTG65652 LDC65552:LDC65652 LMY65552:LMY65652 LWU65552:LWU65652 MGQ65552:MGQ65652 MQM65552:MQM65652 NAI65552:NAI65652 NKE65552:NKE65652 NUA65552:NUA65652 ODW65552:ODW65652 ONS65552:ONS65652 OXO65552:OXO65652 PHK65552:PHK65652 PRG65552:PRG65652 QBC65552:QBC65652 QKY65552:QKY65652 QUU65552:QUU65652 REQ65552:REQ65652 ROM65552:ROM65652 RYI65552:RYI65652 SIE65552:SIE65652 SSA65552:SSA65652 TBW65552:TBW65652 TLS65552:TLS65652 TVO65552:TVO65652 UFK65552:UFK65652 UPG65552:UPG65652 UZC65552:UZC65652 VIY65552:VIY65652 VSU65552:VSU65652 WCQ65552:WCQ65652 WMM65552:WMM65652 WWI65552:WWI65652 AA131088:AA131188 JW131088:JW131188 TS131088:TS131188 ADO131088:ADO131188 ANK131088:ANK131188 AXG131088:AXG131188 BHC131088:BHC131188 BQY131088:BQY131188 CAU131088:CAU131188 CKQ131088:CKQ131188 CUM131088:CUM131188 DEI131088:DEI131188 DOE131088:DOE131188 DYA131088:DYA131188 EHW131088:EHW131188 ERS131088:ERS131188 FBO131088:FBO131188 FLK131088:FLK131188 FVG131088:FVG131188 GFC131088:GFC131188 GOY131088:GOY131188 GYU131088:GYU131188 HIQ131088:HIQ131188 HSM131088:HSM131188 ICI131088:ICI131188 IME131088:IME131188 IWA131088:IWA131188 JFW131088:JFW131188 JPS131088:JPS131188 JZO131088:JZO131188 KJK131088:KJK131188 KTG131088:KTG131188 LDC131088:LDC131188 LMY131088:LMY131188 LWU131088:LWU131188 MGQ131088:MGQ131188 MQM131088:MQM131188 NAI131088:NAI131188 NKE131088:NKE131188 NUA131088:NUA131188 ODW131088:ODW131188 ONS131088:ONS131188 OXO131088:OXO131188 PHK131088:PHK131188 PRG131088:PRG131188 QBC131088:QBC131188 QKY131088:QKY131188 QUU131088:QUU131188 REQ131088:REQ131188 ROM131088:ROM131188 RYI131088:RYI131188 SIE131088:SIE131188 SSA131088:SSA131188 TBW131088:TBW131188 TLS131088:TLS131188 TVO131088:TVO131188 UFK131088:UFK131188 UPG131088:UPG131188 UZC131088:UZC131188 VIY131088:VIY131188 VSU131088:VSU131188 WCQ131088:WCQ131188 WMM131088:WMM131188 WWI131088:WWI131188 AA196624:AA196724 JW196624:JW196724 TS196624:TS196724 ADO196624:ADO196724 ANK196624:ANK196724 AXG196624:AXG196724 BHC196624:BHC196724 BQY196624:BQY196724 CAU196624:CAU196724 CKQ196624:CKQ196724 CUM196624:CUM196724 DEI196624:DEI196724 DOE196624:DOE196724 DYA196624:DYA196724 EHW196624:EHW196724 ERS196624:ERS196724 FBO196624:FBO196724 FLK196624:FLK196724 FVG196624:FVG196724 GFC196624:GFC196724 GOY196624:GOY196724 GYU196624:GYU196724 HIQ196624:HIQ196724 HSM196624:HSM196724 ICI196624:ICI196724 IME196624:IME196724 IWA196624:IWA196724 JFW196624:JFW196724 JPS196624:JPS196724 JZO196624:JZO196724 KJK196624:KJK196724 KTG196624:KTG196724 LDC196624:LDC196724 LMY196624:LMY196724 LWU196624:LWU196724 MGQ196624:MGQ196724 MQM196624:MQM196724 NAI196624:NAI196724 NKE196624:NKE196724 NUA196624:NUA196724 ODW196624:ODW196724 ONS196624:ONS196724 OXO196624:OXO196724 PHK196624:PHK196724 PRG196624:PRG196724 QBC196624:QBC196724 QKY196624:QKY196724 QUU196624:QUU196724 REQ196624:REQ196724 ROM196624:ROM196724 RYI196624:RYI196724 SIE196624:SIE196724 SSA196624:SSA196724 TBW196624:TBW196724 TLS196624:TLS196724 TVO196624:TVO196724 UFK196624:UFK196724 UPG196624:UPG196724 UZC196624:UZC196724 VIY196624:VIY196724 VSU196624:VSU196724 WCQ196624:WCQ196724 WMM196624:WMM196724 WWI196624:WWI196724 AA262160:AA262260 JW262160:JW262260 TS262160:TS262260 ADO262160:ADO262260 ANK262160:ANK262260 AXG262160:AXG262260 BHC262160:BHC262260 BQY262160:BQY262260 CAU262160:CAU262260 CKQ262160:CKQ262260 CUM262160:CUM262260 DEI262160:DEI262260 DOE262160:DOE262260 DYA262160:DYA262260 EHW262160:EHW262260 ERS262160:ERS262260 FBO262160:FBO262260 FLK262160:FLK262260 FVG262160:FVG262260 GFC262160:GFC262260 GOY262160:GOY262260 GYU262160:GYU262260 HIQ262160:HIQ262260 HSM262160:HSM262260 ICI262160:ICI262260 IME262160:IME262260 IWA262160:IWA262260 JFW262160:JFW262260 JPS262160:JPS262260 JZO262160:JZO262260 KJK262160:KJK262260 KTG262160:KTG262260 LDC262160:LDC262260 LMY262160:LMY262260 LWU262160:LWU262260 MGQ262160:MGQ262260 MQM262160:MQM262260 NAI262160:NAI262260 NKE262160:NKE262260 NUA262160:NUA262260 ODW262160:ODW262260 ONS262160:ONS262260 OXO262160:OXO262260 PHK262160:PHK262260 PRG262160:PRG262260 QBC262160:QBC262260 QKY262160:QKY262260 QUU262160:QUU262260 REQ262160:REQ262260 ROM262160:ROM262260 RYI262160:RYI262260 SIE262160:SIE262260 SSA262160:SSA262260 TBW262160:TBW262260 TLS262160:TLS262260 TVO262160:TVO262260 UFK262160:UFK262260 UPG262160:UPG262260 UZC262160:UZC262260 VIY262160:VIY262260 VSU262160:VSU262260 WCQ262160:WCQ262260 WMM262160:WMM262260 WWI262160:WWI262260 AA327696:AA327796 JW327696:JW327796 TS327696:TS327796 ADO327696:ADO327796 ANK327696:ANK327796 AXG327696:AXG327796 BHC327696:BHC327796 BQY327696:BQY327796 CAU327696:CAU327796 CKQ327696:CKQ327796 CUM327696:CUM327796 DEI327696:DEI327796 DOE327696:DOE327796 DYA327696:DYA327796 EHW327696:EHW327796 ERS327696:ERS327796 FBO327696:FBO327796 FLK327696:FLK327796 FVG327696:FVG327796 GFC327696:GFC327796 GOY327696:GOY327796 GYU327696:GYU327796 HIQ327696:HIQ327796 HSM327696:HSM327796 ICI327696:ICI327796 IME327696:IME327796 IWA327696:IWA327796 JFW327696:JFW327796 JPS327696:JPS327796 JZO327696:JZO327796 KJK327696:KJK327796 KTG327696:KTG327796 LDC327696:LDC327796 LMY327696:LMY327796 LWU327696:LWU327796 MGQ327696:MGQ327796 MQM327696:MQM327796 NAI327696:NAI327796 NKE327696:NKE327796 NUA327696:NUA327796 ODW327696:ODW327796 ONS327696:ONS327796 OXO327696:OXO327796 PHK327696:PHK327796 PRG327696:PRG327796 QBC327696:QBC327796 QKY327696:QKY327796 QUU327696:QUU327796 REQ327696:REQ327796 ROM327696:ROM327796 RYI327696:RYI327796 SIE327696:SIE327796 SSA327696:SSA327796 TBW327696:TBW327796 TLS327696:TLS327796 TVO327696:TVO327796 UFK327696:UFK327796 UPG327696:UPG327796 UZC327696:UZC327796 VIY327696:VIY327796 VSU327696:VSU327796 WCQ327696:WCQ327796 WMM327696:WMM327796 WWI327696:WWI327796 AA393232:AA393332 JW393232:JW393332 TS393232:TS393332 ADO393232:ADO393332 ANK393232:ANK393332 AXG393232:AXG393332 BHC393232:BHC393332 BQY393232:BQY393332 CAU393232:CAU393332 CKQ393232:CKQ393332 CUM393232:CUM393332 DEI393232:DEI393332 DOE393232:DOE393332 DYA393232:DYA393332 EHW393232:EHW393332 ERS393232:ERS393332 FBO393232:FBO393332 FLK393232:FLK393332 FVG393232:FVG393332 GFC393232:GFC393332 GOY393232:GOY393332 GYU393232:GYU393332 HIQ393232:HIQ393332 HSM393232:HSM393332 ICI393232:ICI393332 IME393232:IME393332 IWA393232:IWA393332 JFW393232:JFW393332 JPS393232:JPS393332 JZO393232:JZO393332 KJK393232:KJK393332 KTG393232:KTG393332 LDC393232:LDC393332 LMY393232:LMY393332 LWU393232:LWU393332 MGQ393232:MGQ393332 MQM393232:MQM393332 NAI393232:NAI393332 NKE393232:NKE393332 NUA393232:NUA393332 ODW393232:ODW393332 ONS393232:ONS393332 OXO393232:OXO393332 PHK393232:PHK393332 PRG393232:PRG393332 QBC393232:QBC393332 QKY393232:QKY393332 QUU393232:QUU393332 REQ393232:REQ393332 ROM393232:ROM393332 RYI393232:RYI393332 SIE393232:SIE393332 SSA393232:SSA393332 TBW393232:TBW393332 TLS393232:TLS393332 TVO393232:TVO393332 UFK393232:UFK393332 UPG393232:UPG393332 UZC393232:UZC393332 VIY393232:VIY393332 VSU393232:VSU393332 WCQ393232:WCQ393332 WMM393232:WMM393332 WWI393232:WWI393332 AA458768:AA458868 JW458768:JW458868 TS458768:TS458868 ADO458768:ADO458868 ANK458768:ANK458868 AXG458768:AXG458868 BHC458768:BHC458868 BQY458768:BQY458868 CAU458768:CAU458868 CKQ458768:CKQ458868 CUM458768:CUM458868 DEI458768:DEI458868 DOE458768:DOE458868 DYA458768:DYA458868 EHW458768:EHW458868 ERS458768:ERS458868 FBO458768:FBO458868 FLK458768:FLK458868 FVG458768:FVG458868 GFC458768:GFC458868 GOY458768:GOY458868 GYU458768:GYU458868 HIQ458768:HIQ458868 HSM458768:HSM458868 ICI458768:ICI458868 IME458768:IME458868 IWA458768:IWA458868 JFW458768:JFW458868 JPS458768:JPS458868 JZO458768:JZO458868 KJK458768:KJK458868 KTG458768:KTG458868 LDC458768:LDC458868 LMY458768:LMY458868 LWU458768:LWU458868 MGQ458768:MGQ458868 MQM458768:MQM458868 NAI458768:NAI458868 NKE458768:NKE458868 NUA458768:NUA458868 ODW458768:ODW458868 ONS458768:ONS458868 OXO458768:OXO458868 PHK458768:PHK458868 PRG458768:PRG458868 QBC458768:QBC458868 QKY458768:QKY458868 QUU458768:QUU458868 REQ458768:REQ458868 ROM458768:ROM458868 RYI458768:RYI458868 SIE458768:SIE458868 SSA458768:SSA458868 TBW458768:TBW458868 TLS458768:TLS458868 TVO458768:TVO458868 UFK458768:UFK458868 UPG458768:UPG458868 UZC458768:UZC458868 VIY458768:VIY458868 VSU458768:VSU458868 WCQ458768:WCQ458868 WMM458768:WMM458868 WWI458768:WWI458868 AA524304:AA524404 JW524304:JW524404 TS524304:TS524404 ADO524304:ADO524404 ANK524304:ANK524404 AXG524304:AXG524404 BHC524304:BHC524404 BQY524304:BQY524404 CAU524304:CAU524404 CKQ524304:CKQ524404 CUM524304:CUM524404 DEI524304:DEI524404 DOE524304:DOE524404 DYA524304:DYA524404 EHW524304:EHW524404 ERS524304:ERS524404 FBO524304:FBO524404 FLK524304:FLK524404 FVG524304:FVG524404 GFC524304:GFC524404 GOY524304:GOY524404 GYU524304:GYU524404 HIQ524304:HIQ524404 HSM524304:HSM524404 ICI524304:ICI524404 IME524304:IME524404 IWA524304:IWA524404 JFW524304:JFW524404 JPS524304:JPS524404 JZO524304:JZO524404 KJK524304:KJK524404 KTG524304:KTG524404 LDC524304:LDC524404 LMY524304:LMY524404 LWU524304:LWU524404 MGQ524304:MGQ524404 MQM524304:MQM524404 NAI524304:NAI524404 NKE524304:NKE524404 NUA524304:NUA524404 ODW524304:ODW524404 ONS524304:ONS524404 OXO524304:OXO524404 PHK524304:PHK524404 PRG524304:PRG524404 QBC524304:QBC524404 QKY524304:QKY524404 QUU524304:QUU524404 REQ524304:REQ524404 ROM524304:ROM524404 RYI524304:RYI524404 SIE524304:SIE524404 SSA524304:SSA524404 TBW524304:TBW524404 TLS524304:TLS524404 TVO524304:TVO524404 UFK524304:UFK524404 UPG524304:UPG524404 UZC524304:UZC524404 VIY524304:VIY524404 VSU524304:VSU524404 WCQ524304:WCQ524404 WMM524304:WMM524404 WWI524304:WWI524404 AA589840:AA589940 JW589840:JW589940 TS589840:TS589940 ADO589840:ADO589940 ANK589840:ANK589940 AXG589840:AXG589940 BHC589840:BHC589940 BQY589840:BQY589940 CAU589840:CAU589940 CKQ589840:CKQ589940 CUM589840:CUM589940 DEI589840:DEI589940 DOE589840:DOE589940 DYA589840:DYA589940 EHW589840:EHW589940 ERS589840:ERS589940 FBO589840:FBO589940 FLK589840:FLK589940 FVG589840:FVG589940 GFC589840:GFC589940 GOY589840:GOY589940 GYU589840:GYU589940 HIQ589840:HIQ589940 HSM589840:HSM589940 ICI589840:ICI589940 IME589840:IME589940 IWA589840:IWA589940 JFW589840:JFW589940 JPS589840:JPS589940 JZO589840:JZO589940 KJK589840:KJK589940 KTG589840:KTG589940 LDC589840:LDC589940 LMY589840:LMY589940 LWU589840:LWU589940 MGQ589840:MGQ589940 MQM589840:MQM589940 NAI589840:NAI589940 NKE589840:NKE589940 NUA589840:NUA589940 ODW589840:ODW589940 ONS589840:ONS589940 OXO589840:OXO589940 PHK589840:PHK589940 PRG589840:PRG589940 QBC589840:QBC589940 QKY589840:QKY589940 QUU589840:QUU589940 REQ589840:REQ589940 ROM589840:ROM589940 RYI589840:RYI589940 SIE589840:SIE589940 SSA589840:SSA589940 TBW589840:TBW589940 TLS589840:TLS589940 TVO589840:TVO589940 UFK589840:UFK589940 UPG589840:UPG589940 UZC589840:UZC589940 VIY589840:VIY589940 VSU589840:VSU589940 WCQ589840:WCQ589940 WMM589840:WMM589940 WWI589840:WWI589940 AA655376:AA655476 JW655376:JW655476 TS655376:TS655476 ADO655376:ADO655476 ANK655376:ANK655476 AXG655376:AXG655476 BHC655376:BHC655476 BQY655376:BQY655476 CAU655376:CAU655476 CKQ655376:CKQ655476 CUM655376:CUM655476 DEI655376:DEI655476 DOE655376:DOE655476 DYA655376:DYA655476 EHW655376:EHW655476 ERS655376:ERS655476 FBO655376:FBO655476 FLK655376:FLK655476 FVG655376:FVG655476 GFC655376:GFC655476 GOY655376:GOY655476 GYU655376:GYU655476 HIQ655376:HIQ655476 HSM655376:HSM655476 ICI655376:ICI655476 IME655376:IME655476 IWA655376:IWA655476 JFW655376:JFW655476 JPS655376:JPS655476 JZO655376:JZO655476 KJK655376:KJK655476 KTG655376:KTG655476 LDC655376:LDC655476 LMY655376:LMY655476 LWU655376:LWU655476 MGQ655376:MGQ655476 MQM655376:MQM655476 NAI655376:NAI655476 NKE655376:NKE655476 NUA655376:NUA655476 ODW655376:ODW655476 ONS655376:ONS655476 OXO655376:OXO655476 PHK655376:PHK655476 PRG655376:PRG655476 QBC655376:QBC655476 QKY655376:QKY655476 QUU655376:QUU655476 REQ655376:REQ655476 ROM655376:ROM655476 RYI655376:RYI655476 SIE655376:SIE655476 SSA655376:SSA655476 TBW655376:TBW655476 TLS655376:TLS655476 TVO655376:TVO655476 UFK655376:UFK655476 UPG655376:UPG655476 UZC655376:UZC655476 VIY655376:VIY655476 VSU655376:VSU655476 WCQ655376:WCQ655476 WMM655376:WMM655476 WWI655376:WWI655476 AA720912:AA721012 JW720912:JW721012 TS720912:TS721012 ADO720912:ADO721012 ANK720912:ANK721012 AXG720912:AXG721012 BHC720912:BHC721012 BQY720912:BQY721012 CAU720912:CAU721012 CKQ720912:CKQ721012 CUM720912:CUM721012 DEI720912:DEI721012 DOE720912:DOE721012 DYA720912:DYA721012 EHW720912:EHW721012 ERS720912:ERS721012 FBO720912:FBO721012 FLK720912:FLK721012 FVG720912:FVG721012 GFC720912:GFC721012 GOY720912:GOY721012 GYU720912:GYU721012 HIQ720912:HIQ721012 HSM720912:HSM721012 ICI720912:ICI721012 IME720912:IME721012 IWA720912:IWA721012 JFW720912:JFW721012 JPS720912:JPS721012 JZO720912:JZO721012 KJK720912:KJK721012 KTG720912:KTG721012 LDC720912:LDC721012 LMY720912:LMY721012 LWU720912:LWU721012 MGQ720912:MGQ721012 MQM720912:MQM721012 NAI720912:NAI721012 NKE720912:NKE721012 NUA720912:NUA721012 ODW720912:ODW721012 ONS720912:ONS721012 OXO720912:OXO721012 PHK720912:PHK721012 PRG720912:PRG721012 QBC720912:QBC721012 QKY720912:QKY721012 QUU720912:QUU721012 REQ720912:REQ721012 ROM720912:ROM721012 RYI720912:RYI721012 SIE720912:SIE721012 SSA720912:SSA721012 TBW720912:TBW721012 TLS720912:TLS721012 TVO720912:TVO721012 UFK720912:UFK721012 UPG720912:UPG721012 UZC720912:UZC721012 VIY720912:VIY721012 VSU720912:VSU721012 WCQ720912:WCQ721012 WMM720912:WMM721012 WWI720912:WWI721012 AA786448:AA786548 JW786448:JW786548 TS786448:TS786548 ADO786448:ADO786548 ANK786448:ANK786548 AXG786448:AXG786548 BHC786448:BHC786548 BQY786448:BQY786548 CAU786448:CAU786548 CKQ786448:CKQ786548 CUM786448:CUM786548 DEI786448:DEI786548 DOE786448:DOE786548 DYA786448:DYA786548 EHW786448:EHW786548 ERS786448:ERS786548 FBO786448:FBO786548 FLK786448:FLK786548 FVG786448:FVG786548 GFC786448:GFC786548 GOY786448:GOY786548 GYU786448:GYU786548 HIQ786448:HIQ786548 HSM786448:HSM786548 ICI786448:ICI786548 IME786448:IME786548 IWA786448:IWA786548 JFW786448:JFW786548 JPS786448:JPS786548 JZO786448:JZO786548 KJK786448:KJK786548 KTG786448:KTG786548 LDC786448:LDC786548 LMY786448:LMY786548 LWU786448:LWU786548 MGQ786448:MGQ786548 MQM786448:MQM786548 NAI786448:NAI786548 NKE786448:NKE786548 NUA786448:NUA786548 ODW786448:ODW786548 ONS786448:ONS786548 OXO786448:OXO786548 PHK786448:PHK786548 PRG786448:PRG786548 QBC786448:QBC786548 QKY786448:QKY786548 QUU786448:QUU786548 REQ786448:REQ786548 ROM786448:ROM786548 RYI786448:RYI786548 SIE786448:SIE786548 SSA786448:SSA786548 TBW786448:TBW786548 TLS786448:TLS786548 TVO786448:TVO786548 UFK786448:UFK786548 UPG786448:UPG786548 UZC786448:UZC786548 VIY786448:VIY786548 VSU786448:VSU786548 WCQ786448:WCQ786548 WMM786448:WMM786548 WWI786448:WWI786548 AA851984:AA852084 JW851984:JW852084 TS851984:TS852084 ADO851984:ADO852084 ANK851984:ANK852084 AXG851984:AXG852084 BHC851984:BHC852084 BQY851984:BQY852084 CAU851984:CAU852084 CKQ851984:CKQ852084 CUM851984:CUM852084 DEI851984:DEI852084 DOE851984:DOE852084 DYA851984:DYA852084 EHW851984:EHW852084 ERS851984:ERS852084 FBO851984:FBO852084 FLK851984:FLK852084 FVG851984:FVG852084 GFC851984:GFC852084 GOY851984:GOY852084 GYU851984:GYU852084 HIQ851984:HIQ852084 HSM851984:HSM852084 ICI851984:ICI852084 IME851984:IME852084 IWA851984:IWA852084 JFW851984:JFW852084 JPS851984:JPS852084 JZO851984:JZO852084 KJK851984:KJK852084 KTG851984:KTG852084 LDC851984:LDC852084 LMY851984:LMY852084 LWU851984:LWU852084 MGQ851984:MGQ852084 MQM851984:MQM852084 NAI851984:NAI852084 NKE851984:NKE852084 NUA851984:NUA852084 ODW851984:ODW852084 ONS851984:ONS852084 OXO851984:OXO852084 PHK851984:PHK852084 PRG851984:PRG852084 QBC851984:QBC852084 QKY851984:QKY852084 QUU851984:QUU852084 REQ851984:REQ852084 ROM851984:ROM852084 RYI851984:RYI852084 SIE851984:SIE852084 SSA851984:SSA852084 TBW851984:TBW852084 TLS851984:TLS852084 TVO851984:TVO852084 UFK851984:UFK852084 UPG851984:UPG852084 UZC851984:UZC852084 VIY851984:VIY852084 VSU851984:VSU852084 WCQ851984:WCQ852084 WMM851984:WMM852084 WWI851984:WWI852084 AA917520:AA917620 JW917520:JW917620 TS917520:TS917620 ADO917520:ADO917620 ANK917520:ANK917620 AXG917520:AXG917620 BHC917520:BHC917620 BQY917520:BQY917620 CAU917520:CAU917620 CKQ917520:CKQ917620 CUM917520:CUM917620 DEI917520:DEI917620 DOE917520:DOE917620 DYA917520:DYA917620 EHW917520:EHW917620 ERS917520:ERS917620 FBO917520:FBO917620 FLK917520:FLK917620 FVG917520:FVG917620 GFC917520:GFC917620 GOY917520:GOY917620 GYU917520:GYU917620 HIQ917520:HIQ917620 HSM917520:HSM917620 ICI917520:ICI917620 IME917520:IME917620 IWA917520:IWA917620 JFW917520:JFW917620 JPS917520:JPS917620 JZO917520:JZO917620 KJK917520:KJK917620 KTG917520:KTG917620 LDC917520:LDC917620 LMY917520:LMY917620 LWU917520:LWU917620 MGQ917520:MGQ917620 MQM917520:MQM917620 NAI917520:NAI917620 NKE917520:NKE917620 NUA917520:NUA917620 ODW917520:ODW917620 ONS917520:ONS917620 OXO917520:OXO917620 PHK917520:PHK917620 PRG917520:PRG917620 QBC917520:QBC917620 QKY917520:QKY917620 QUU917520:QUU917620 REQ917520:REQ917620 ROM917520:ROM917620 RYI917520:RYI917620 SIE917520:SIE917620 SSA917520:SSA917620 TBW917520:TBW917620 TLS917520:TLS917620 TVO917520:TVO917620 UFK917520:UFK917620 UPG917520:UPG917620 UZC917520:UZC917620 VIY917520:VIY917620 VSU917520:VSU917620 WCQ917520:WCQ917620 WMM917520:WMM917620 WWI917520:WWI917620 AA983056:AA983156 JW983056:JW983156 TS983056:TS983156 ADO983056:ADO983156 ANK983056:ANK983156 AXG983056:AXG983156 BHC983056:BHC983156 BQY983056:BQY983156 CAU983056:CAU983156 CKQ983056:CKQ983156 CUM983056:CUM983156 DEI983056:DEI983156 DOE983056:DOE983156 DYA983056:DYA983156 EHW983056:EHW983156 ERS983056:ERS983156 FBO983056:FBO983156 FLK983056:FLK983156 FVG983056:FVG983156 GFC983056:GFC983156 GOY983056:GOY983156 GYU983056:GYU983156 HIQ983056:HIQ983156 HSM983056:HSM983156 ICI983056:ICI983156 IME983056:IME983156 IWA983056:IWA983156 JFW983056:JFW983156 JPS983056:JPS983156 JZO983056:JZO983156 KJK983056:KJK983156 KTG983056:KTG983156 LDC983056:LDC983156 LMY983056:LMY983156 LWU983056:LWU983156 MGQ983056:MGQ983156 MQM983056:MQM983156 NAI983056:NAI983156 NKE983056:NKE983156 NUA983056:NUA983156 ODW983056:ODW983156 ONS983056:ONS983156 OXO983056:OXO983156 PHK983056:PHK983156 PRG983056:PRG983156 QBC983056:QBC983156 QKY983056:QKY983156 QUU983056:QUU983156 REQ983056:REQ983156 ROM983056:ROM983156 RYI983056:RYI983156 SIE983056:SIE983156 SSA983056:SSA983156 TBW983056:TBW983156 TLS983056:TLS983156 TVO983056:TVO983156 UFK983056:UFK983156 UPG983056:UPG983156 UZC983056:UZC983156 VIY983056:VIY983156 VSU983056:VSU983156 WCQ983056:WCQ983156 WWI12:WWI65 WMM12:WMM65 WCQ12:WCQ65 VSU12:VSU65 VIY12:VIY65 UZC12:UZC65 UPG12:UPG65 UFK12:UFK65 TVO12:TVO65 TLS12:TLS65 TBW12:TBW65 SSA12:SSA65 SIE12:SIE65 RYI12:RYI65 ROM12:ROM65 REQ12:REQ65 QUU12:QUU65 QKY12:QKY65 QBC12:QBC65 PRG12:PRG65 PHK12:PHK65 OXO12:OXO65 ONS12:ONS65 ODW12:ODW65 NUA12:NUA65 NKE12:NKE65 NAI12:NAI65 MQM12:MQM65 MGQ12:MGQ65 LWU12:LWU65 LMY12:LMY65 LDC12:LDC65 KTG12:KTG65 KJK12:KJK65 JZO12:JZO65 JPS12:JPS65 JFW12:JFW65 IWA12:IWA65 IME12:IME65 ICI12:ICI65 HSM12:HSM65 HIQ12:HIQ65 GYU12:GYU65 GOY12:GOY65 GFC12:GFC65 FVG12:FVG65 FLK12:FLK65 FBO12:FBO65 ERS12:ERS65 EHW12:EHW65 DYA12:DYA65 DOE12:DOE65 DEI12:DEI65 CUM12:CUM65 CKQ12:CKQ65 CAU12:CAU65 BQY12:BQY65 BHC12:BHC65 AXG12:AXG65 ANK12:ANK65 ADO12:ADO65 TS12:TS65 JW12:JW65 JW67:JW116" xr:uid="{601FCB8A-6E45-456F-AB39-66B8FCFC58B1}">
      <formula1>$AA$10</formula1>
    </dataValidation>
    <dataValidation type="whole" operator="lessThanOrEqual" allowBlank="1" showInputMessage="1" showErrorMessage="1" error="INPUT NUMBER LESS THAN OR EQUAL THE HIGHEST POSSIBLE SCORE" prompt="Input Raw Score" sqref="WWH983056:WWH983156 TR67:TR116 ADN67:ADN116 ANJ67:ANJ116 AXF67:AXF116 BHB67:BHB116 BQX67:BQX116 CAT67:CAT116 CKP67:CKP116 CUL67:CUL116 DEH67:DEH116 DOD67:DOD116 DXZ67:DXZ116 EHV67:EHV116 ERR67:ERR116 FBN67:FBN116 FLJ67:FLJ116 FVF67:FVF116 GFB67:GFB116 GOX67:GOX116 GYT67:GYT116 HIP67:HIP116 HSL67:HSL116 ICH67:ICH116 IMD67:IMD116 IVZ67:IVZ116 JFV67:JFV116 JPR67:JPR116 JZN67:JZN116 KJJ67:KJJ116 KTF67:KTF116 LDB67:LDB116 LMX67:LMX116 LWT67:LWT116 MGP67:MGP116 MQL67:MQL116 NAH67:NAH116 NKD67:NKD116 NTZ67:NTZ116 ODV67:ODV116 ONR67:ONR116 OXN67:OXN116 PHJ67:PHJ116 PRF67:PRF116 QBB67:QBB116 QKX67:QKX116 QUT67:QUT116 REP67:REP116 ROL67:ROL116 RYH67:RYH116 SID67:SID116 SRZ67:SRZ116 TBV67:TBV116 TLR67:TLR116 TVN67:TVN116 UFJ67:UFJ116 UPF67:UPF116 UZB67:UZB116 VIX67:VIX116 VST67:VST116 WCP67:WCP116 WML67:WML116 WWH67:WWH116 WML983056:WML983156 Z65552:Z65652 JV65552:JV65652 TR65552:TR65652 ADN65552:ADN65652 ANJ65552:ANJ65652 AXF65552:AXF65652 BHB65552:BHB65652 BQX65552:BQX65652 CAT65552:CAT65652 CKP65552:CKP65652 CUL65552:CUL65652 DEH65552:DEH65652 DOD65552:DOD65652 DXZ65552:DXZ65652 EHV65552:EHV65652 ERR65552:ERR65652 FBN65552:FBN65652 FLJ65552:FLJ65652 FVF65552:FVF65652 GFB65552:GFB65652 GOX65552:GOX65652 GYT65552:GYT65652 HIP65552:HIP65652 HSL65552:HSL65652 ICH65552:ICH65652 IMD65552:IMD65652 IVZ65552:IVZ65652 JFV65552:JFV65652 JPR65552:JPR65652 JZN65552:JZN65652 KJJ65552:KJJ65652 KTF65552:KTF65652 LDB65552:LDB65652 LMX65552:LMX65652 LWT65552:LWT65652 MGP65552:MGP65652 MQL65552:MQL65652 NAH65552:NAH65652 NKD65552:NKD65652 NTZ65552:NTZ65652 ODV65552:ODV65652 ONR65552:ONR65652 OXN65552:OXN65652 PHJ65552:PHJ65652 PRF65552:PRF65652 QBB65552:QBB65652 QKX65552:QKX65652 QUT65552:QUT65652 REP65552:REP65652 ROL65552:ROL65652 RYH65552:RYH65652 SID65552:SID65652 SRZ65552:SRZ65652 TBV65552:TBV65652 TLR65552:TLR65652 TVN65552:TVN65652 UFJ65552:UFJ65652 UPF65552:UPF65652 UZB65552:UZB65652 VIX65552:VIX65652 VST65552:VST65652 WCP65552:WCP65652 WML65552:WML65652 WWH65552:WWH65652 Z131088:Z131188 JV131088:JV131188 TR131088:TR131188 ADN131088:ADN131188 ANJ131088:ANJ131188 AXF131088:AXF131188 BHB131088:BHB131188 BQX131088:BQX131188 CAT131088:CAT131188 CKP131088:CKP131188 CUL131088:CUL131188 DEH131088:DEH131188 DOD131088:DOD131188 DXZ131088:DXZ131188 EHV131088:EHV131188 ERR131088:ERR131188 FBN131088:FBN131188 FLJ131088:FLJ131188 FVF131088:FVF131188 GFB131088:GFB131188 GOX131088:GOX131188 GYT131088:GYT131188 HIP131088:HIP131188 HSL131088:HSL131188 ICH131088:ICH131188 IMD131088:IMD131188 IVZ131088:IVZ131188 JFV131088:JFV131188 JPR131088:JPR131188 JZN131088:JZN131188 KJJ131088:KJJ131188 KTF131088:KTF131188 LDB131088:LDB131188 LMX131088:LMX131188 LWT131088:LWT131188 MGP131088:MGP131188 MQL131088:MQL131188 NAH131088:NAH131188 NKD131088:NKD131188 NTZ131088:NTZ131188 ODV131088:ODV131188 ONR131088:ONR131188 OXN131088:OXN131188 PHJ131088:PHJ131188 PRF131088:PRF131188 QBB131088:QBB131188 QKX131088:QKX131188 QUT131088:QUT131188 REP131088:REP131188 ROL131088:ROL131188 RYH131088:RYH131188 SID131088:SID131188 SRZ131088:SRZ131188 TBV131088:TBV131188 TLR131088:TLR131188 TVN131088:TVN131188 UFJ131088:UFJ131188 UPF131088:UPF131188 UZB131088:UZB131188 VIX131088:VIX131188 VST131088:VST131188 WCP131088:WCP131188 WML131088:WML131188 WWH131088:WWH131188 Z196624:Z196724 JV196624:JV196724 TR196624:TR196724 ADN196624:ADN196724 ANJ196624:ANJ196724 AXF196624:AXF196724 BHB196624:BHB196724 BQX196624:BQX196724 CAT196624:CAT196724 CKP196624:CKP196724 CUL196624:CUL196724 DEH196624:DEH196724 DOD196624:DOD196724 DXZ196624:DXZ196724 EHV196624:EHV196724 ERR196624:ERR196724 FBN196624:FBN196724 FLJ196624:FLJ196724 FVF196624:FVF196724 GFB196624:GFB196724 GOX196624:GOX196724 GYT196624:GYT196724 HIP196624:HIP196724 HSL196624:HSL196724 ICH196624:ICH196724 IMD196624:IMD196724 IVZ196624:IVZ196724 JFV196624:JFV196724 JPR196624:JPR196724 JZN196624:JZN196724 KJJ196624:KJJ196724 KTF196624:KTF196724 LDB196624:LDB196724 LMX196624:LMX196724 LWT196624:LWT196724 MGP196624:MGP196724 MQL196624:MQL196724 NAH196624:NAH196724 NKD196624:NKD196724 NTZ196624:NTZ196724 ODV196624:ODV196724 ONR196624:ONR196724 OXN196624:OXN196724 PHJ196624:PHJ196724 PRF196624:PRF196724 QBB196624:QBB196724 QKX196624:QKX196724 QUT196624:QUT196724 REP196624:REP196724 ROL196624:ROL196724 RYH196624:RYH196724 SID196624:SID196724 SRZ196624:SRZ196724 TBV196624:TBV196724 TLR196624:TLR196724 TVN196624:TVN196724 UFJ196624:UFJ196724 UPF196624:UPF196724 UZB196624:UZB196724 VIX196624:VIX196724 VST196624:VST196724 WCP196624:WCP196724 WML196624:WML196724 WWH196624:WWH196724 Z262160:Z262260 JV262160:JV262260 TR262160:TR262260 ADN262160:ADN262260 ANJ262160:ANJ262260 AXF262160:AXF262260 BHB262160:BHB262260 BQX262160:BQX262260 CAT262160:CAT262260 CKP262160:CKP262260 CUL262160:CUL262260 DEH262160:DEH262260 DOD262160:DOD262260 DXZ262160:DXZ262260 EHV262160:EHV262260 ERR262160:ERR262260 FBN262160:FBN262260 FLJ262160:FLJ262260 FVF262160:FVF262260 GFB262160:GFB262260 GOX262160:GOX262260 GYT262160:GYT262260 HIP262160:HIP262260 HSL262160:HSL262260 ICH262160:ICH262260 IMD262160:IMD262260 IVZ262160:IVZ262260 JFV262160:JFV262260 JPR262160:JPR262260 JZN262160:JZN262260 KJJ262160:KJJ262260 KTF262160:KTF262260 LDB262160:LDB262260 LMX262160:LMX262260 LWT262160:LWT262260 MGP262160:MGP262260 MQL262160:MQL262260 NAH262160:NAH262260 NKD262160:NKD262260 NTZ262160:NTZ262260 ODV262160:ODV262260 ONR262160:ONR262260 OXN262160:OXN262260 PHJ262160:PHJ262260 PRF262160:PRF262260 QBB262160:QBB262260 QKX262160:QKX262260 QUT262160:QUT262260 REP262160:REP262260 ROL262160:ROL262260 RYH262160:RYH262260 SID262160:SID262260 SRZ262160:SRZ262260 TBV262160:TBV262260 TLR262160:TLR262260 TVN262160:TVN262260 UFJ262160:UFJ262260 UPF262160:UPF262260 UZB262160:UZB262260 VIX262160:VIX262260 VST262160:VST262260 WCP262160:WCP262260 WML262160:WML262260 WWH262160:WWH262260 Z327696:Z327796 JV327696:JV327796 TR327696:TR327796 ADN327696:ADN327796 ANJ327696:ANJ327796 AXF327696:AXF327796 BHB327696:BHB327796 BQX327696:BQX327796 CAT327696:CAT327796 CKP327696:CKP327796 CUL327696:CUL327796 DEH327696:DEH327796 DOD327696:DOD327796 DXZ327696:DXZ327796 EHV327696:EHV327796 ERR327696:ERR327796 FBN327696:FBN327796 FLJ327696:FLJ327796 FVF327696:FVF327796 GFB327696:GFB327796 GOX327696:GOX327796 GYT327696:GYT327796 HIP327696:HIP327796 HSL327696:HSL327796 ICH327696:ICH327796 IMD327696:IMD327796 IVZ327696:IVZ327796 JFV327696:JFV327796 JPR327696:JPR327796 JZN327696:JZN327796 KJJ327696:KJJ327796 KTF327696:KTF327796 LDB327696:LDB327796 LMX327696:LMX327796 LWT327696:LWT327796 MGP327696:MGP327796 MQL327696:MQL327796 NAH327696:NAH327796 NKD327696:NKD327796 NTZ327696:NTZ327796 ODV327696:ODV327796 ONR327696:ONR327796 OXN327696:OXN327796 PHJ327696:PHJ327796 PRF327696:PRF327796 QBB327696:QBB327796 QKX327696:QKX327796 QUT327696:QUT327796 REP327696:REP327796 ROL327696:ROL327796 RYH327696:RYH327796 SID327696:SID327796 SRZ327696:SRZ327796 TBV327696:TBV327796 TLR327696:TLR327796 TVN327696:TVN327796 UFJ327696:UFJ327796 UPF327696:UPF327796 UZB327696:UZB327796 VIX327696:VIX327796 VST327696:VST327796 WCP327696:WCP327796 WML327696:WML327796 WWH327696:WWH327796 Z393232:Z393332 JV393232:JV393332 TR393232:TR393332 ADN393232:ADN393332 ANJ393232:ANJ393332 AXF393232:AXF393332 BHB393232:BHB393332 BQX393232:BQX393332 CAT393232:CAT393332 CKP393232:CKP393332 CUL393232:CUL393332 DEH393232:DEH393332 DOD393232:DOD393332 DXZ393232:DXZ393332 EHV393232:EHV393332 ERR393232:ERR393332 FBN393232:FBN393332 FLJ393232:FLJ393332 FVF393232:FVF393332 GFB393232:GFB393332 GOX393232:GOX393332 GYT393232:GYT393332 HIP393232:HIP393332 HSL393232:HSL393332 ICH393232:ICH393332 IMD393232:IMD393332 IVZ393232:IVZ393332 JFV393232:JFV393332 JPR393232:JPR393332 JZN393232:JZN393332 KJJ393232:KJJ393332 KTF393232:KTF393332 LDB393232:LDB393332 LMX393232:LMX393332 LWT393232:LWT393332 MGP393232:MGP393332 MQL393232:MQL393332 NAH393232:NAH393332 NKD393232:NKD393332 NTZ393232:NTZ393332 ODV393232:ODV393332 ONR393232:ONR393332 OXN393232:OXN393332 PHJ393232:PHJ393332 PRF393232:PRF393332 QBB393232:QBB393332 QKX393232:QKX393332 QUT393232:QUT393332 REP393232:REP393332 ROL393232:ROL393332 RYH393232:RYH393332 SID393232:SID393332 SRZ393232:SRZ393332 TBV393232:TBV393332 TLR393232:TLR393332 TVN393232:TVN393332 UFJ393232:UFJ393332 UPF393232:UPF393332 UZB393232:UZB393332 VIX393232:VIX393332 VST393232:VST393332 WCP393232:WCP393332 WML393232:WML393332 WWH393232:WWH393332 Z458768:Z458868 JV458768:JV458868 TR458768:TR458868 ADN458768:ADN458868 ANJ458768:ANJ458868 AXF458768:AXF458868 BHB458768:BHB458868 BQX458768:BQX458868 CAT458768:CAT458868 CKP458768:CKP458868 CUL458768:CUL458868 DEH458768:DEH458868 DOD458768:DOD458868 DXZ458768:DXZ458868 EHV458768:EHV458868 ERR458768:ERR458868 FBN458768:FBN458868 FLJ458768:FLJ458868 FVF458768:FVF458868 GFB458768:GFB458868 GOX458768:GOX458868 GYT458768:GYT458868 HIP458768:HIP458868 HSL458768:HSL458868 ICH458768:ICH458868 IMD458768:IMD458868 IVZ458768:IVZ458868 JFV458768:JFV458868 JPR458768:JPR458868 JZN458768:JZN458868 KJJ458768:KJJ458868 KTF458768:KTF458868 LDB458768:LDB458868 LMX458768:LMX458868 LWT458768:LWT458868 MGP458768:MGP458868 MQL458768:MQL458868 NAH458768:NAH458868 NKD458768:NKD458868 NTZ458768:NTZ458868 ODV458768:ODV458868 ONR458768:ONR458868 OXN458768:OXN458868 PHJ458768:PHJ458868 PRF458768:PRF458868 QBB458768:QBB458868 QKX458768:QKX458868 QUT458768:QUT458868 REP458768:REP458868 ROL458768:ROL458868 RYH458768:RYH458868 SID458768:SID458868 SRZ458768:SRZ458868 TBV458768:TBV458868 TLR458768:TLR458868 TVN458768:TVN458868 UFJ458768:UFJ458868 UPF458768:UPF458868 UZB458768:UZB458868 VIX458768:VIX458868 VST458768:VST458868 WCP458768:WCP458868 WML458768:WML458868 WWH458768:WWH458868 Z524304:Z524404 JV524304:JV524404 TR524304:TR524404 ADN524304:ADN524404 ANJ524304:ANJ524404 AXF524304:AXF524404 BHB524304:BHB524404 BQX524304:BQX524404 CAT524304:CAT524404 CKP524304:CKP524404 CUL524304:CUL524404 DEH524304:DEH524404 DOD524304:DOD524404 DXZ524304:DXZ524404 EHV524304:EHV524404 ERR524304:ERR524404 FBN524304:FBN524404 FLJ524304:FLJ524404 FVF524304:FVF524404 GFB524304:GFB524404 GOX524304:GOX524404 GYT524304:GYT524404 HIP524304:HIP524404 HSL524304:HSL524404 ICH524304:ICH524404 IMD524304:IMD524404 IVZ524304:IVZ524404 JFV524304:JFV524404 JPR524304:JPR524404 JZN524304:JZN524404 KJJ524304:KJJ524404 KTF524304:KTF524404 LDB524304:LDB524404 LMX524304:LMX524404 LWT524304:LWT524404 MGP524304:MGP524404 MQL524304:MQL524404 NAH524304:NAH524404 NKD524304:NKD524404 NTZ524304:NTZ524404 ODV524304:ODV524404 ONR524304:ONR524404 OXN524304:OXN524404 PHJ524304:PHJ524404 PRF524304:PRF524404 QBB524304:QBB524404 QKX524304:QKX524404 QUT524304:QUT524404 REP524304:REP524404 ROL524304:ROL524404 RYH524304:RYH524404 SID524304:SID524404 SRZ524304:SRZ524404 TBV524304:TBV524404 TLR524304:TLR524404 TVN524304:TVN524404 UFJ524304:UFJ524404 UPF524304:UPF524404 UZB524304:UZB524404 VIX524304:VIX524404 VST524304:VST524404 WCP524304:WCP524404 WML524304:WML524404 WWH524304:WWH524404 Z589840:Z589940 JV589840:JV589940 TR589840:TR589940 ADN589840:ADN589940 ANJ589840:ANJ589940 AXF589840:AXF589940 BHB589840:BHB589940 BQX589840:BQX589940 CAT589840:CAT589940 CKP589840:CKP589940 CUL589840:CUL589940 DEH589840:DEH589940 DOD589840:DOD589940 DXZ589840:DXZ589940 EHV589840:EHV589940 ERR589840:ERR589940 FBN589840:FBN589940 FLJ589840:FLJ589940 FVF589840:FVF589940 GFB589840:GFB589940 GOX589840:GOX589940 GYT589840:GYT589940 HIP589840:HIP589940 HSL589840:HSL589940 ICH589840:ICH589940 IMD589840:IMD589940 IVZ589840:IVZ589940 JFV589840:JFV589940 JPR589840:JPR589940 JZN589840:JZN589940 KJJ589840:KJJ589940 KTF589840:KTF589940 LDB589840:LDB589940 LMX589840:LMX589940 LWT589840:LWT589940 MGP589840:MGP589940 MQL589840:MQL589940 NAH589840:NAH589940 NKD589840:NKD589940 NTZ589840:NTZ589940 ODV589840:ODV589940 ONR589840:ONR589940 OXN589840:OXN589940 PHJ589840:PHJ589940 PRF589840:PRF589940 QBB589840:QBB589940 QKX589840:QKX589940 QUT589840:QUT589940 REP589840:REP589940 ROL589840:ROL589940 RYH589840:RYH589940 SID589840:SID589940 SRZ589840:SRZ589940 TBV589840:TBV589940 TLR589840:TLR589940 TVN589840:TVN589940 UFJ589840:UFJ589940 UPF589840:UPF589940 UZB589840:UZB589940 VIX589840:VIX589940 VST589840:VST589940 WCP589840:WCP589940 WML589840:WML589940 WWH589840:WWH589940 Z655376:Z655476 JV655376:JV655476 TR655376:TR655476 ADN655376:ADN655476 ANJ655376:ANJ655476 AXF655376:AXF655476 BHB655376:BHB655476 BQX655376:BQX655476 CAT655376:CAT655476 CKP655376:CKP655476 CUL655376:CUL655476 DEH655376:DEH655476 DOD655376:DOD655476 DXZ655376:DXZ655476 EHV655376:EHV655476 ERR655376:ERR655476 FBN655376:FBN655476 FLJ655376:FLJ655476 FVF655376:FVF655476 GFB655376:GFB655476 GOX655376:GOX655476 GYT655376:GYT655476 HIP655376:HIP655476 HSL655376:HSL655476 ICH655376:ICH655476 IMD655376:IMD655476 IVZ655376:IVZ655476 JFV655376:JFV655476 JPR655376:JPR655476 JZN655376:JZN655476 KJJ655376:KJJ655476 KTF655376:KTF655476 LDB655376:LDB655476 LMX655376:LMX655476 LWT655376:LWT655476 MGP655376:MGP655476 MQL655376:MQL655476 NAH655376:NAH655476 NKD655376:NKD655476 NTZ655376:NTZ655476 ODV655376:ODV655476 ONR655376:ONR655476 OXN655376:OXN655476 PHJ655376:PHJ655476 PRF655376:PRF655476 QBB655376:QBB655476 QKX655376:QKX655476 QUT655376:QUT655476 REP655376:REP655476 ROL655376:ROL655476 RYH655376:RYH655476 SID655376:SID655476 SRZ655376:SRZ655476 TBV655376:TBV655476 TLR655376:TLR655476 TVN655376:TVN655476 UFJ655376:UFJ655476 UPF655376:UPF655476 UZB655376:UZB655476 VIX655376:VIX655476 VST655376:VST655476 WCP655376:WCP655476 WML655376:WML655476 WWH655376:WWH655476 Z720912:Z721012 JV720912:JV721012 TR720912:TR721012 ADN720912:ADN721012 ANJ720912:ANJ721012 AXF720912:AXF721012 BHB720912:BHB721012 BQX720912:BQX721012 CAT720912:CAT721012 CKP720912:CKP721012 CUL720912:CUL721012 DEH720912:DEH721012 DOD720912:DOD721012 DXZ720912:DXZ721012 EHV720912:EHV721012 ERR720912:ERR721012 FBN720912:FBN721012 FLJ720912:FLJ721012 FVF720912:FVF721012 GFB720912:GFB721012 GOX720912:GOX721012 GYT720912:GYT721012 HIP720912:HIP721012 HSL720912:HSL721012 ICH720912:ICH721012 IMD720912:IMD721012 IVZ720912:IVZ721012 JFV720912:JFV721012 JPR720912:JPR721012 JZN720912:JZN721012 KJJ720912:KJJ721012 KTF720912:KTF721012 LDB720912:LDB721012 LMX720912:LMX721012 LWT720912:LWT721012 MGP720912:MGP721012 MQL720912:MQL721012 NAH720912:NAH721012 NKD720912:NKD721012 NTZ720912:NTZ721012 ODV720912:ODV721012 ONR720912:ONR721012 OXN720912:OXN721012 PHJ720912:PHJ721012 PRF720912:PRF721012 QBB720912:QBB721012 QKX720912:QKX721012 QUT720912:QUT721012 REP720912:REP721012 ROL720912:ROL721012 RYH720912:RYH721012 SID720912:SID721012 SRZ720912:SRZ721012 TBV720912:TBV721012 TLR720912:TLR721012 TVN720912:TVN721012 UFJ720912:UFJ721012 UPF720912:UPF721012 UZB720912:UZB721012 VIX720912:VIX721012 VST720912:VST721012 WCP720912:WCP721012 WML720912:WML721012 WWH720912:WWH721012 Z786448:Z786548 JV786448:JV786548 TR786448:TR786548 ADN786448:ADN786548 ANJ786448:ANJ786548 AXF786448:AXF786548 BHB786448:BHB786548 BQX786448:BQX786548 CAT786448:CAT786548 CKP786448:CKP786548 CUL786448:CUL786548 DEH786448:DEH786548 DOD786448:DOD786548 DXZ786448:DXZ786548 EHV786448:EHV786548 ERR786448:ERR786548 FBN786448:FBN786548 FLJ786448:FLJ786548 FVF786448:FVF786548 GFB786448:GFB786548 GOX786448:GOX786548 GYT786448:GYT786548 HIP786448:HIP786548 HSL786448:HSL786548 ICH786448:ICH786548 IMD786448:IMD786548 IVZ786448:IVZ786548 JFV786448:JFV786548 JPR786448:JPR786548 JZN786448:JZN786548 KJJ786448:KJJ786548 KTF786448:KTF786548 LDB786448:LDB786548 LMX786448:LMX786548 LWT786448:LWT786548 MGP786448:MGP786548 MQL786448:MQL786548 NAH786448:NAH786548 NKD786448:NKD786548 NTZ786448:NTZ786548 ODV786448:ODV786548 ONR786448:ONR786548 OXN786448:OXN786548 PHJ786448:PHJ786548 PRF786448:PRF786548 QBB786448:QBB786548 QKX786448:QKX786548 QUT786448:QUT786548 REP786448:REP786548 ROL786448:ROL786548 RYH786448:RYH786548 SID786448:SID786548 SRZ786448:SRZ786548 TBV786448:TBV786548 TLR786448:TLR786548 TVN786448:TVN786548 UFJ786448:UFJ786548 UPF786448:UPF786548 UZB786448:UZB786548 VIX786448:VIX786548 VST786448:VST786548 WCP786448:WCP786548 WML786448:WML786548 WWH786448:WWH786548 Z851984:Z852084 JV851984:JV852084 TR851984:TR852084 ADN851984:ADN852084 ANJ851984:ANJ852084 AXF851984:AXF852084 BHB851984:BHB852084 BQX851984:BQX852084 CAT851984:CAT852084 CKP851984:CKP852084 CUL851984:CUL852084 DEH851984:DEH852084 DOD851984:DOD852084 DXZ851984:DXZ852084 EHV851984:EHV852084 ERR851984:ERR852084 FBN851984:FBN852084 FLJ851984:FLJ852084 FVF851984:FVF852084 GFB851984:GFB852084 GOX851984:GOX852084 GYT851984:GYT852084 HIP851984:HIP852084 HSL851984:HSL852084 ICH851984:ICH852084 IMD851984:IMD852084 IVZ851984:IVZ852084 JFV851984:JFV852084 JPR851984:JPR852084 JZN851984:JZN852084 KJJ851984:KJJ852084 KTF851984:KTF852084 LDB851984:LDB852084 LMX851984:LMX852084 LWT851984:LWT852084 MGP851984:MGP852084 MQL851984:MQL852084 NAH851984:NAH852084 NKD851984:NKD852084 NTZ851984:NTZ852084 ODV851984:ODV852084 ONR851984:ONR852084 OXN851984:OXN852084 PHJ851984:PHJ852084 PRF851984:PRF852084 QBB851984:QBB852084 QKX851984:QKX852084 QUT851984:QUT852084 REP851984:REP852084 ROL851984:ROL852084 RYH851984:RYH852084 SID851984:SID852084 SRZ851984:SRZ852084 TBV851984:TBV852084 TLR851984:TLR852084 TVN851984:TVN852084 UFJ851984:UFJ852084 UPF851984:UPF852084 UZB851984:UZB852084 VIX851984:VIX852084 VST851984:VST852084 WCP851984:WCP852084 WML851984:WML852084 WWH851984:WWH852084 Z917520:Z917620 JV917520:JV917620 TR917520:TR917620 ADN917520:ADN917620 ANJ917520:ANJ917620 AXF917520:AXF917620 BHB917520:BHB917620 BQX917520:BQX917620 CAT917520:CAT917620 CKP917520:CKP917620 CUL917520:CUL917620 DEH917520:DEH917620 DOD917520:DOD917620 DXZ917520:DXZ917620 EHV917520:EHV917620 ERR917520:ERR917620 FBN917520:FBN917620 FLJ917520:FLJ917620 FVF917520:FVF917620 GFB917520:GFB917620 GOX917520:GOX917620 GYT917520:GYT917620 HIP917520:HIP917620 HSL917520:HSL917620 ICH917520:ICH917620 IMD917520:IMD917620 IVZ917520:IVZ917620 JFV917520:JFV917620 JPR917520:JPR917620 JZN917520:JZN917620 KJJ917520:KJJ917620 KTF917520:KTF917620 LDB917520:LDB917620 LMX917520:LMX917620 LWT917520:LWT917620 MGP917520:MGP917620 MQL917520:MQL917620 NAH917520:NAH917620 NKD917520:NKD917620 NTZ917520:NTZ917620 ODV917520:ODV917620 ONR917520:ONR917620 OXN917520:OXN917620 PHJ917520:PHJ917620 PRF917520:PRF917620 QBB917520:QBB917620 QKX917520:QKX917620 QUT917520:QUT917620 REP917520:REP917620 ROL917520:ROL917620 RYH917520:RYH917620 SID917520:SID917620 SRZ917520:SRZ917620 TBV917520:TBV917620 TLR917520:TLR917620 TVN917520:TVN917620 UFJ917520:UFJ917620 UPF917520:UPF917620 UZB917520:UZB917620 VIX917520:VIX917620 VST917520:VST917620 WCP917520:WCP917620 WML917520:WML917620 WWH917520:WWH917620 Z983056:Z983156 JV983056:JV983156 TR983056:TR983156 ADN983056:ADN983156 ANJ983056:ANJ983156 AXF983056:AXF983156 BHB983056:BHB983156 BQX983056:BQX983156 CAT983056:CAT983156 CKP983056:CKP983156 CUL983056:CUL983156 DEH983056:DEH983156 DOD983056:DOD983156 DXZ983056:DXZ983156 EHV983056:EHV983156 ERR983056:ERR983156 FBN983056:FBN983156 FLJ983056:FLJ983156 FVF983056:FVF983156 GFB983056:GFB983156 GOX983056:GOX983156 GYT983056:GYT983156 HIP983056:HIP983156 HSL983056:HSL983156 ICH983056:ICH983156 IMD983056:IMD983156 IVZ983056:IVZ983156 JFV983056:JFV983156 JPR983056:JPR983156 JZN983056:JZN983156 KJJ983056:KJJ983156 KTF983056:KTF983156 LDB983056:LDB983156 LMX983056:LMX983156 LWT983056:LWT983156 MGP983056:MGP983156 MQL983056:MQL983156 NAH983056:NAH983156 NKD983056:NKD983156 NTZ983056:NTZ983156 ODV983056:ODV983156 ONR983056:ONR983156 OXN983056:OXN983156 PHJ983056:PHJ983156 PRF983056:PRF983156 QBB983056:QBB983156 QKX983056:QKX983156 QUT983056:QUT983156 REP983056:REP983156 ROL983056:ROL983156 RYH983056:RYH983156 SID983056:SID983156 SRZ983056:SRZ983156 TBV983056:TBV983156 TLR983056:TLR983156 TVN983056:TVN983156 UFJ983056:UFJ983156 UPF983056:UPF983156 UZB983056:UZB983156 VIX983056:VIX983156 VST983056:VST983156 WCP983056:WCP983156 WWH12:WWH65 WML12:WML65 WCP12:WCP65 VST12:VST65 VIX12:VIX65 UZB12:UZB65 UPF12:UPF65 UFJ12:UFJ65 TVN12:TVN65 TLR12:TLR65 TBV12:TBV65 SRZ12:SRZ65 SID12:SID65 RYH12:RYH65 ROL12:ROL65 REP12:REP65 QUT12:QUT65 QKX12:QKX65 QBB12:QBB65 PRF12:PRF65 PHJ12:PHJ65 OXN12:OXN65 ONR12:ONR65 ODV12:ODV65 NTZ12:NTZ65 NKD12:NKD65 NAH12:NAH65 MQL12:MQL65 MGP12:MGP65 LWT12:LWT65 LMX12:LMX65 LDB12:LDB65 KTF12:KTF65 KJJ12:KJJ65 JZN12:JZN65 JPR12:JPR65 JFV12:JFV65 IVZ12:IVZ65 IMD12:IMD65 ICH12:ICH65 HSL12:HSL65 HIP12:HIP65 GYT12:GYT65 GOX12:GOX65 GFB12:GFB65 FVF12:FVF65 FLJ12:FLJ65 FBN12:FBN65 ERR12:ERR65 EHV12:EHV65 DXZ12:DXZ65 DOD12:DOD65 DEH12:DEH65 CUL12:CUL65 CKP12:CKP65 CAT12:CAT65 BQX12:BQX65 BHB12:BHB65 AXF12:AXF65 ANJ12:ANJ65 ADN12:ADN65 TR12:TR65 JV12:JV65 JV67:JV116" xr:uid="{74D41173-A967-42F4-9B77-B7CA02DD51C7}">
      <formula1>$Z$10</formula1>
    </dataValidation>
    <dataValidation type="whole" operator="lessThanOrEqual" allowBlank="1" showInputMessage="1" showErrorMessage="1" error="INPUT NUMBER LESS THAN OR EQUAL THE HIGHEST POSSIBLE SCORE" prompt="Input Raw Score" sqref="WWG983056:WWG983156 TQ67:TQ116 ADM67:ADM116 ANI67:ANI116 AXE67:AXE116 BHA67:BHA116 BQW67:BQW116 CAS67:CAS116 CKO67:CKO116 CUK67:CUK116 DEG67:DEG116 DOC67:DOC116 DXY67:DXY116 EHU67:EHU116 ERQ67:ERQ116 FBM67:FBM116 FLI67:FLI116 FVE67:FVE116 GFA67:GFA116 GOW67:GOW116 GYS67:GYS116 HIO67:HIO116 HSK67:HSK116 ICG67:ICG116 IMC67:IMC116 IVY67:IVY116 JFU67:JFU116 JPQ67:JPQ116 JZM67:JZM116 KJI67:KJI116 KTE67:KTE116 LDA67:LDA116 LMW67:LMW116 LWS67:LWS116 MGO67:MGO116 MQK67:MQK116 NAG67:NAG116 NKC67:NKC116 NTY67:NTY116 ODU67:ODU116 ONQ67:ONQ116 OXM67:OXM116 PHI67:PHI116 PRE67:PRE116 QBA67:QBA116 QKW67:QKW116 QUS67:QUS116 REO67:REO116 ROK67:ROK116 RYG67:RYG116 SIC67:SIC116 SRY67:SRY116 TBU67:TBU116 TLQ67:TLQ116 TVM67:TVM116 UFI67:UFI116 UPE67:UPE116 UZA67:UZA116 VIW67:VIW116 VSS67:VSS116 WCO67:WCO116 WMK67:WMK116 WWG67:WWG116 WMK983056:WMK983156 Y65552:Y65652 JU65552:JU65652 TQ65552:TQ65652 ADM65552:ADM65652 ANI65552:ANI65652 AXE65552:AXE65652 BHA65552:BHA65652 BQW65552:BQW65652 CAS65552:CAS65652 CKO65552:CKO65652 CUK65552:CUK65652 DEG65552:DEG65652 DOC65552:DOC65652 DXY65552:DXY65652 EHU65552:EHU65652 ERQ65552:ERQ65652 FBM65552:FBM65652 FLI65552:FLI65652 FVE65552:FVE65652 GFA65552:GFA65652 GOW65552:GOW65652 GYS65552:GYS65652 HIO65552:HIO65652 HSK65552:HSK65652 ICG65552:ICG65652 IMC65552:IMC65652 IVY65552:IVY65652 JFU65552:JFU65652 JPQ65552:JPQ65652 JZM65552:JZM65652 KJI65552:KJI65652 KTE65552:KTE65652 LDA65552:LDA65652 LMW65552:LMW65652 LWS65552:LWS65652 MGO65552:MGO65652 MQK65552:MQK65652 NAG65552:NAG65652 NKC65552:NKC65652 NTY65552:NTY65652 ODU65552:ODU65652 ONQ65552:ONQ65652 OXM65552:OXM65652 PHI65552:PHI65652 PRE65552:PRE65652 QBA65552:QBA65652 QKW65552:QKW65652 QUS65552:QUS65652 REO65552:REO65652 ROK65552:ROK65652 RYG65552:RYG65652 SIC65552:SIC65652 SRY65552:SRY65652 TBU65552:TBU65652 TLQ65552:TLQ65652 TVM65552:TVM65652 UFI65552:UFI65652 UPE65552:UPE65652 UZA65552:UZA65652 VIW65552:VIW65652 VSS65552:VSS65652 WCO65552:WCO65652 WMK65552:WMK65652 WWG65552:WWG65652 Y131088:Y131188 JU131088:JU131188 TQ131088:TQ131188 ADM131088:ADM131188 ANI131088:ANI131188 AXE131088:AXE131188 BHA131088:BHA131188 BQW131088:BQW131188 CAS131088:CAS131188 CKO131088:CKO131188 CUK131088:CUK131188 DEG131088:DEG131188 DOC131088:DOC131188 DXY131088:DXY131188 EHU131088:EHU131188 ERQ131088:ERQ131188 FBM131088:FBM131188 FLI131088:FLI131188 FVE131088:FVE131188 GFA131088:GFA131188 GOW131088:GOW131188 GYS131088:GYS131188 HIO131088:HIO131188 HSK131088:HSK131188 ICG131088:ICG131188 IMC131088:IMC131188 IVY131088:IVY131188 JFU131088:JFU131188 JPQ131088:JPQ131188 JZM131088:JZM131188 KJI131088:KJI131188 KTE131088:KTE131188 LDA131088:LDA131188 LMW131088:LMW131188 LWS131088:LWS131188 MGO131088:MGO131188 MQK131088:MQK131188 NAG131088:NAG131188 NKC131088:NKC131188 NTY131088:NTY131188 ODU131088:ODU131188 ONQ131088:ONQ131188 OXM131088:OXM131188 PHI131088:PHI131188 PRE131088:PRE131188 QBA131088:QBA131188 QKW131088:QKW131188 QUS131088:QUS131188 REO131088:REO131188 ROK131088:ROK131188 RYG131088:RYG131188 SIC131088:SIC131188 SRY131088:SRY131188 TBU131088:TBU131188 TLQ131088:TLQ131188 TVM131088:TVM131188 UFI131088:UFI131188 UPE131088:UPE131188 UZA131088:UZA131188 VIW131088:VIW131188 VSS131088:VSS131188 WCO131088:WCO131188 WMK131088:WMK131188 WWG131088:WWG131188 Y196624:Y196724 JU196624:JU196724 TQ196624:TQ196724 ADM196624:ADM196724 ANI196624:ANI196724 AXE196624:AXE196724 BHA196624:BHA196724 BQW196624:BQW196724 CAS196624:CAS196724 CKO196624:CKO196724 CUK196624:CUK196724 DEG196624:DEG196724 DOC196624:DOC196724 DXY196624:DXY196724 EHU196624:EHU196724 ERQ196624:ERQ196724 FBM196624:FBM196724 FLI196624:FLI196724 FVE196624:FVE196724 GFA196624:GFA196724 GOW196624:GOW196724 GYS196624:GYS196724 HIO196624:HIO196724 HSK196624:HSK196724 ICG196624:ICG196724 IMC196624:IMC196724 IVY196624:IVY196724 JFU196624:JFU196724 JPQ196624:JPQ196724 JZM196624:JZM196724 KJI196624:KJI196724 KTE196624:KTE196724 LDA196624:LDA196724 LMW196624:LMW196724 LWS196624:LWS196724 MGO196624:MGO196724 MQK196624:MQK196724 NAG196624:NAG196724 NKC196624:NKC196724 NTY196624:NTY196724 ODU196624:ODU196724 ONQ196624:ONQ196724 OXM196624:OXM196724 PHI196624:PHI196724 PRE196624:PRE196724 QBA196624:QBA196724 QKW196624:QKW196724 QUS196624:QUS196724 REO196624:REO196724 ROK196624:ROK196724 RYG196624:RYG196724 SIC196624:SIC196724 SRY196624:SRY196724 TBU196624:TBU196724 TLQ196624:TLQ196724 TVM196624:TVM196724 UFI196624:UFI196724 UPE196624:UPE196724 UZA196624:UZA196724 VIW196624:VIW196724 VSS196624:VSS196724 WCO196624:WCO196724 WMK196624:WMK196724 WWG196624:WWG196724 Y262160:Y262260 JU262160:JU262260 TQ262160:TQ262260 ADM262160:ADM262260 ANI262160:ANI262260 AXE262160:AXE262260 BHA262160:BHA262260 BQW262160:BQW262260 CAS262160:CAS262260 CKO262160:CKO262260 CUK262160:CUK262260 DEG262160:DEG262260 DOC262160:DOC262260 DXY262160:DXY262260 EHU262160:EHU262260 ERQ262160:ERQ262260 FBM262160:FBM262260 FLI262160:FLI262260 FVE262160:FVE262260 GFA262160:GFA262260 GOW262160:GOW262260 GYS262160:GYS262260 HIO262160:HIO262260 HSK262160:HSK262260 ICG262160:ICG262260 IMC262160:IMC262260 IVY262160:IVY262260 JFU262160:JFU262260 JPQ262160:JPQ262260 JZM262160:JZM262260 KJI262160:KJI262260 KTE262160:KTE262260 LDA262160:LDA262260 LMW262160:LMW262260 LWS262160:LWS262260 MGO262160:MGO262260 MQK262160:MQK262260 NAG262160:NAG262260 NKC262160:NKC262260 NTY262160:NTY262260 ODU262160:ODU262260 ONQ262160:ONQ262260 OXM262160:OXM262260 PHI262160:PHI262260 PRE262160:PRE262260 QBA262160:QBA262260 QKW262160:QKW262260 QUS262160:QUS262260 REO262160:REO262260 ROK262160:ROK262260 RYG262160:RYG262260 SIC262160:SIC262260 SRY262160:SRY262260 TBU262160:TBU262260 TLQ262160:TLQ262260 TVM262160:TVM262260 UFI262160:UFI262260 UPE262160:UPE262260 UZA262160:UZA262260 VIW262160:VIW262260 VSS262160:VSS262260 WCO262160:WCO262260 WMK262160:WMK262260 WWG262160:WWG262260 Y327696:Y327796 JU327696:JU327796 TQ327696:TQ327796 ADM327696:ADM327796 ANI327696:ANI327796 AXE327696:AXE327796 BHA327696:BHA327796 BQW327696:BQW327796 CAS327696:CAS327796 CKO327696:CKO327796 CUK327696:CUK327796 DEG327696:DEG327796 DOC327696:DOC327796 DXY327696:DXY327796 EHU327696:EHU327796 ERQ327696:ERQ327796 FBM327696:FBM327796 FLI327696:FLI327796 FVE327696:FVE327796 GFA327696:GFA327796 GOW327696:GOW327796 GYS327696:GYS327796 HIO327696:HIO327796 HSK327696:HSK327796 ICG327696:ICG327796 IMC327696:IMC327796 IVY327696:IVY327796 JFU327696:JFU327796 JPQ327696:JPQ327796 JZM327696:JZM327796 KJI327696:KJI327796 KTE327696:KTE327796 LDA327696:LDA327796 LMW327696:LMW327796 LWS327696:LWS327796 MGO327696:MGO327796 MQK327696:MQK327796 NAG327696:NAG327796 NKC327696:NKC327796 NTY327696:NTY327796 ODU327696:ODU327796 ONQ327696:ONQ327796 OXM327696:OXM327796 PHI327696:PHI327796 PRE327696:PRE327796 QBA327696:QBA327796 QKW327696:QKW327796 QUS327696:QUS327796 REO327696:REO327796 ROK327696:ROK327796 RYG327696:RYG327796 SIC327696:SIC327796 SRY327696:SRY327796 TBU327696:TBU327796 TLQ327696:TLQ327796 TVM327696:TVM327796 UFI327696:UFI327796 UPE327696:UPE327796 UZA327696:UZA327796 VIW327696:VIW327796 VSS327696:VSS327796 WCO327696:WCO327796 WMK327696:WMK327796 WWG327696:WWG327796 Y393232:Y393332 JU393232:JU393332 TQ393232:TQ393332 ADM393232:ADM393332 ANI393232:ANI393332 AXE393232:AXE393332 BHA393232:BHA393332 BQW393232:BQW393332 CAS393232:CAS393332 CKO393232:CKO393332 CUK393232:CUK393332 DEG393232:DEG393332 DOC393232:DOC393332 DXY393232:DXY393332 EHU393232:EHU393332 ERQ393232:ERQ393332 FBM393232:FBM393332 FLI393232:FLI393332 FVE393232:FVE393332 GFA393232:GFA393332 GOW393232:GOW393332 GYS393232:GYS393332 HIO393232:HIO393332 HSK393232:HSK393332 ICG393232:ICG393332 IMC393232:IMC393332 IVY393232:IVY393332 JFU393232:JFU393332 JPQ393232:JPQ393332 JZM393232:JZM393332 KJI393232:KJI393332 KTE393232:KTE393332 LDA393232:LDA393332 LMW393232:LMW393332 LWS393232:LWS393332 MGO393232:MGO393332 MQK393232:MQK393332 NAG393232:NAG393332 NKC393232:NKC393332 NTY393232:NTY393332 ODU393232:ODU393332 ONQ393232:ONQ393332 OXM393232:OXM393332 PHI393232:PHI393332 PRE393232:PRE393332 QBA393232:QBA393332 QKW393232:QKW393332 QUS393232:QUS393332 REO393232:REO393332 ROK393232:ROK393332 RYG393232:RYG393332 SIC393232:SIC393332 SRY393232:SRY393332 TBU393232:TBU393332 TLQ393232:TLQ393332 TVM393232:TVM393332 UFI393232:UFI393332 UPE393232:UPE393332 UZA393232:UZA393332 VIW393232:VIW393332 VSS393232:VSS393332 WCO393232:WCO393332 WMK393232:WMK393332 WWG393232:WWG393332 Y458768:Y458868 JU458768:JU458868 TQ458768:TQ458868 ADM458768:ADM458868 ANI458768:ANI458868 AXE458768:AXE458868 BHA458768:BHA458868 BQW458768:BQW458868 CAS458768:CAS458868 CKO458768:CKO458868 CUK458768:CUK458868 DEG458768:DEG458868 DOC458768:DOC458868 DXY458768:DXY458868 EHU458768:EHU458868 ERQ458768:ERQ458868 FBM458768:FBM458868 FLI458768:FLI458868 FVE458768:FVE458868 GFA458768:GFA458868 GOW458768:GOW458868 GYS458768:GYS458868 HIO458768:HIO458868 HSK458768:HSK458868 ICG458768:ICG458868 IMC458768:IMC458868 IVY458768:IVY458868 JFU458768:JFU458868 JPQ458768:JPQ458868 JZM458768:JZM458868 KJI458768:KJI458868 KTE458768:KTE458868 LDA458768:LDA458868 LMW458768:LMW458868 LWS458768:LWS458868 MGO458768:MGO458868 MQK458768:MQK458868 NAG458768:NAG458868 NKC458768:NKC458868 NTY458768:NTY458868 ODU458768:ODU458868 ONQ458768:ONQ458868 OXM458768:OXM458868 PHI458768:PHI458868 PRE458768:PRE458868 QBA458768:QBA458868 QKW458768:QKW458868 QUS458768:QUS458868 REO458768:REO458868 ROK458768:ROK458868 RYG458768:RYG458868 SIC458768:SIC458868 SRY458768:SRY458868 TBU458768:TBU458868 TLQ458768:TLQ458868 TVM458768:TVM458868 UFI458768:UFI458868 UPE458768:UPE458868 UZA458768:UZA458868 VIW458768:VIW458868 VSS458768:VSS458868 WCO458768:WCO458868 WMK458768:WMK458868 WWG458768:WWG458868 Y524304:Y524404 JU524304:JU524404 TQ524304:TQ524404 ADM524304:ADM524404 ANI524304:ANI524404 AXE524304:AXE524404 BHA524304:BHA524404 BQW524304:BQW524404 CAS524304:CAS524404 CKO524304:CKO524404 CUK524304:CUK524404 DEG524304:DEG524404 DOC524304:DOC524404 DXY524304:DXY524404 EHU524304:EHU524404 ERQ524304:ERQ524404 FBM524304:FBM524404 FLI524304:FLI524404 FVE524304:FVE524404 GFA524304:GFA524404 GOW524304:GOW524404 GYS524304:GYS524404 HIO524304:HIO524404 HSK524304:HSK524404 ICG524304:ICG524404 IMC524304:IMC524404 IVY524304:IVY524404 JFU524304:JFU524404 JPQ524304:JPQ524404 JZM524304:JZM524404 KJI524304:KJI524404 KTE524304:KTE524404 LDA524304:LDA524404 LMW524304:LMW524404 LWS524304:LWS524404 MGO524304:MGO524404 MQK524304:MQK524404 NAG524304:NAG524404 NKC524304:NKC524404 NTY524304:NTY524404 ODU524304:ODU524404 ONQ524304:ONQ524404 OXM524304:OXM524404 PHI524304:PHI524404 PRE524304:PRE524404 QBA524304:QBA524404 QKW524304:QKW524404 QUS524304:QUS524404 REO524304:REO524404 ROK524304:ROK524404 RYG524304:RYG524404 SIC524304:SIC524404 SRY524304:SRY524404 TBU524304:TBU524404 TLQ524304:TLQ524404 TVM524304:TVM524404 UFI524304:UFI524404 UPE524304:UPE524404 UZA524304:UZA524404 VIW524304:VIW524404 VSS524304:VSS524404 WCO524304:WCO524404 WMK524304:WMK524404 WWG524304:WWG524404 Y589840:Y589940 JU589840:JU589940 TQ589840:TQ589940 ADM589840:ADM589940 ANI589840:ANI589940 AXE589840:AXE589940 BHA589840:BHA589940 BQW589840:BQW589940 CAS589840:CAS589940 CKO589840:CKO589940 CUK589840:CUK589940 DEG589840:DEG589940 DOC589840:DOC589940 DXY589840:DXY589940 EHU589840:EHU589940 ERQ589840:ERQ589940 FBM589840:FBM589940 FLI589840:FLI589940 FVE589840:FVE589940 GFA589840:GFA589940 GOW589840:GOW589940 GYS589840:GYS589940 HIO589840:HIO589940 HSK589840:HSK589940 ICG589840:ICG589940 IMC589840:IMC589940 IVY589840:IVY589940 JFU589840:JFU589940 JPQ589840:JPQ589940 JZM589840:JZM589940 KJI589840:KJI589940 KTE589840:KTE589940 LDA589840:LDA589940 LMW589840:LMW589940 LWS589840:LWS589940 MGO589840:MGO589940 MQK589840:MQK589940 NAG589840:NAG589940 NKC589840:NKC589940 NTY589840:NTY589940 ODU589840:ODU589940 ONQ589840:ONQ589940 OXM589840:OXM589940 PHI589840:PHI589940 PRE589840:PRE589940 QBA589840:QBA589940 QKW589840:QKW589940 QUS589840:QUS589940 REO589840:REO589940 ROK589840:ROK589940 RYG589840:RYG589940 SIC589840:SIC589940 SRY589840:SRY589940 TBU589840:TBU589940 TLQ589840:TLQ589940 TVM589840:TVM589940 UFI589840:UFI589940 UPE589840:UPE589940 UZA589840:UZA589940 VIW589840:VIW589940 VSS589840:VSS589940 WCO589840:WCO589940 WMK589840:WMK589940 WWG589840:WWG589940 Y655376:Y655476 JU655376:JU655476 TQ655376:TQ655476 ADM655376:ADM655476 ANI655376:ANI655476 AXE655376:AXE655476 BHA655376:BHA655476 BQW655376:BQW655476 CAS655376:CAS655476 CKO655376:CKO655476 CUK655376:CUK655476 DEG655376:DEG655476 DOC655376:DOC655476 DXY655376:DXY655476 EHU655376:EHU655476 ERQ655376:ERQ655476 FBM655376:FBM655476 FLI655376:FLI655476 FVE655376:FVE655476 GFA655376:GFA655476 GOW655376:GOW655476 GYS655376:GYS655476 HIO655376:HIO655476 HSK655376:HSK655476 ICG655376:ICG655476 IMC655376:IMC655476 IVY655376:IVY655476 JFU655376:JFU655476 JPQ655376:JPQ655476 JZM655376:JZM655476 KJI655376:KJI655476 KTE655376:KTE655476 LDA655376:LDA655476 LMW655376:LMW655476 LWS655376:LWS655476 MGO655376:MGO655476 MQK655376:MQK655476 NAG655376:NAG655476 NKC655376:NKC655476 NTY655376:NTY655476 ODU655376:ODU655476 ONQ655376:ONQ655476 OXM655376:OXM655476 PHI655376:PHI655476 PRE655376:PRE655476 QBA655376:QBA655476 QKW655376:QKW655476 QUS655376:QUS655476 REO655376:REO655476 ROK655376:ROK655476 RYG655376:RYG655476 SIC655376:SIC655476 SRY655376:SRY655476 TBU655376:TBU655476 TLQ655376:TLQ655476 TVM655376:TVM655476 UFI655376:UFI655476 UPE655376:UPE655476 UZA655376:UZA655476 VIW655376:VIW655476 VSS655376:VSS655476 WCO655376:WCO655476 WMK655376:WMK655476 WWG655376:WWG655476 Y720912:Y721012 JU720912:JU721012 TQ720912:TQ721012 ADM720912:ADM721012 ANI720912:ANI721012 AXE720912:AXE721012 BHA720912:BHA721012 BQW720912:BQW721012 CAS720912:CAS721012 CKO720912:CKO721012 CUK720912:CUK721012 DEG720912:DEG721012 DOC720912:DOC721012 DXY720912:DXY721012 EHU720912:EHU721012 ERQ720912:ERQ721012 FBM720912:FBM721012 FLI720912:FLI721012 FVE720912:FVE721012 GFA720912:GFA721012 GOW720912:GOW721012 GYS720912:GYS721012 HIO720912:HIO721012 HSK720912:HSK721012 ICG720912:ICG721012 IMC720912:IMC721012 IVY720912:IVY721012 JFU720912:JFU721012 JPQ720912:JPQ721012 JZM720912:JZM721012 KJI720912:KJI721012 KTE720912:KTE721012 LDA720912:LDA721012 LMW720912:LMW721012 LWS720912:LWS721012 MGO720912:MGO721012 MQK720912:MQK721012 NAG720912:NAG721012 NKC720912:NKC721012 NTY720912:NTY721012 ODU720912:ODU721012 ONQ720912:ONQ721012 OXM720912:OXM721012 PHI720912:PHI721012 PRE720912:PRE721012 QBA720912:QBA721012 QKW720912:QKW721012 QUS720912:QUS721012 REO720912:REO721012 ROK720912:ROK721012 RYG720912:RYG721012 SIC720912:SIC721012 SRY720912:SRY721012 TBU720912:TBU721012 TLQ720912:TLQ721012 TVM720912:TVM721012 UFI720912:UFI721012 UPE720912:UPE721012 UZA720912:UZA721012 VIW720912:VIW721012 VSS720912:VSS721012 WCO720912:WCO721012 WMK720912:WMK721012 WWG720912:WWG721012 Y786448:Y786548 JU786448:JU786548 TQ786448:TQ786548 ADM786448:ADM786548 ANI786448:ANI786548 AXE786448:AXE786548 BHA786448:BHA786548 BQW786448:BQW786548 CAS786448:CAS786548 CKO786448:CKO786548 CUK786448:CUK786548 DEG786448:DEG786548 DOC786448:DOC786548 DXY786448:DXY786548 EHU786448:EHU786548 ERQ786448:ERQ786548 FBM786448:FBM786548 FLI786448:FLI786548 FVE786448:FVE786548 GFA786448:GFA786548 GOW786448:GOW786548 GYS786448:GYS786548 HIO786448:HIO786548 HSK786448:HSK786548 ICG786448:ICG786548 IMC786448:IMC786548 IVY786448:IVY786548 JFU786448:JFU786548 JPQ786448:JPQ786548 JZM786448:JZM786548 KJI786448:KJI786548 KTE786448:KTE786548 LDA786448:LDA786548 LMW786448:LMW786548 LWS786448:LWS786548 MGO786448:MGO786548 MQK786448:MQK786548 NAG786448:NAG786548 NKC786448:NKC786548 NTY786448:NTY786548 ODU786448:ODU786548 ONQ786448:ONQ786548 OXM786448:OXM786548 PHI786448:PHI786548 PRE786448:PRE786548 QBA786448:QBA786548 QKW786448:QKW786548 QUS786448:QUS786548 REO786448:REO786548 ROK786448:ROK786548 RYG786448:RYG786548 SIC786448:SIC786548 SRY786448:SRY786548 TBU786448:TBU786548 TLQ786448:TLQ786548 TVM786448:TVM786548 UFI786448:UFI786548 UPE786448:UPE786548 UZA786448:UZA786548 VIW786448:VIW786548 VSS786448:VSS786548 WCO786448:WCO786548 WMK786448:WMK786548 WWG786448:WWG786548 Y851984:Y852084 JU851984:JU852084 TQ851984:TQ852084 ADM851984:ADM852084 ANI851984:ANI852084 AXE851984:AXE852084 BHA851984:BHA852084 BQW851984:BQW852084 CAS851984:CAS852084 CKO851984:CKO852084 CUK851984:CUK852084 DEG851984:DEG852084 DOC851984:DOC852084 DXY851984:DXY852084 EHU851984:EHU852084 ERQ851984:ERQ852084 FBM851984:FBM852084 FLI851984:FLI852084 FVE851984:FVE852084 GFA851984:GFA852084 GOW851984:GOW852084 GYS851984:GYS852084 HIO851984:HIO852084 HSK851984:HSK852084 ICG851984:ICG852084 IMC851984:IMC852084 IVY851984:IVY852084 JFU851984:JFU852084 JPQ851984:JPQ852084 JZM851984:JZM852084 KJI851984:KJI852084 KTE851984:KTE852084 LDA851984:LDA852084 LMW851984:LMW852084 LWS851984:LWS852084 MGO851984:MGO852084 MQK851984:MQK852084 NAG851984:NAG852084 NKC851984:NKC852084 NTY851984:NTY852084 ODU851984:ODU852084 ONQ851984:ONQ852084 OXM851984:OXM852084 PHI851984:PHI852084 PRE851984:PRE852084 QBA851984:QBA852084 QKW851984:QKW852084 QUS851984:QUS852084 REO851984:REO852084 ROK851984:ROK852084 RYG851984:RYG852084 SIC851984:SIC852084 SRY851984:SRY852084 TBU851984:TBU852084 TLQ851984:TLQ852084 TVM851984:TVM852084 UFI851984:UFI852084 UPE851984:UPE852084 UZA851984:UZA852084 VIW851984:VIW852084 VSS851984:VSS852084 WCO851984:WCO852084 WMK851984:WMK852084 WWG851984:WWG852084 Y917520:Y917620 JU917520:JU917620 TQ917520:TQ917620 ADM917520:ADM917620 ANI917520:ANI917620 AXE917520:AXE917620 BHA917520:BHA917620 BQW917520:BQW917620 CAS917520:CAS917620 CKO917520:CKO917620 CUK917520:CUK917620 DEG917520:DEG917620 DOC917520:DOC917620 DXY917520:DXY917620 EHU917520:EHU917620 ERQ917520:ERQ917620 FBM917520:FBM917620 FLI917520:FLI917620 FVE917520:FVE917620 GFA917520:GFA917620 GOW917520:GOW917620 GYS917520:GYS917620 HIO917520:HIO917620 HSK917520:HSK917620 ICG917520:ICG917620 IMC917520:IMC917620 IVY917520:IVY917620 JFU917520:JFU917620 JPQ917520:JPQ917620 JZM917520:JZM917620 KJI917520:KJI917620 KTE917520:KTE917620 LDA917520:LDA917620 LMW917520:LMW917620 LWS917520:LWS917620 MGO917520:MGO917620 MQK917520:MQK917620 NAG917520:NAG917620 NKC917520:NKC917620 NTY917520:NTY917620 ODU917520:ODU917620 ONQ917520:ONQ917620 OXM917520:OXM917620 PHI917520:PHI917620 PRE917520:PRE917620 QBA917520:QBA917620 QKW917520:QKW917620 QUS917520:QUS917620 REO917520:REO917620 ROK917520:ROK917620 RYG917520:RYG917620 SIC917520:SIC917620 SRY917520:SRY917620 TBU917520:TBU917620 TLQ917520:TLQ917620 TVM917520:TVM917620 UFI917520:UFI917620 UPE917520:UPE917620 UZA917520:UZA917620 VIW917520:VIW917620 VSS917520:VSS917620 WCO917520:WCO917620 WMK917520:WMK917620 WWG917520:WWG917620 Y983056:Y983156 JU983056:JU983156 TQ983056:TQ983156 ADM983056:ADM983156 ANI983056:ANI983156 AXE983056:AXE983156 BHA983056:BHA983156 BQW983056:BQW983156 CAS983056:CAS983156 CKO983056:CKO983156 CUK983056:CUK983156 DEG983056:DEG983156 DOC983056:DOC983156 DXY983056:DXY983156 EHU983056:EHU983156 ERQ983056:ERQ983156 FBM983056:FBM983156 FLI983056:FLI983156 FVE983056:FVE983156 GFA983056:GFA983156 GOW983056:GOW983156 GYS983056:GYS983156 HIO983056:HIO983156 HSK983056:HSK983156 ICG983056:ICG983156 IMC983056:IMC983156 IVY983056:IVY983156 JFU983056:JFU983156 JPQ983056:JPQ983156 JZM983056:JZM983156 KJI983056:KJI983156 KTE983056:KTE983156 LDA983056:LDA983156 LMW983056:LMW983156 LWS983056:LWS983156 MGO983056:MGO983156 MQK983056:MQK983156 NAG983056:NAG983156 NKC983056:NKC983156 NTY983056:NTY983156 ODU983056:ODU983156 ONQ983056:ONQ983156 OXM983056:OXM983156 PHI983056:PHI983156 PRE983056:PRE983156 QBA983056:QBA983156 QKW983056:QKW983156 QUS983056:QUS983156 REO983056:REO983156 ROK983056:ROK983156 RYG983056:RYG983156 SIC983056:SIC983156 SRY983056:SRY983156 TBU983056:TBU983156 TLQ983056:TLQ983156 TVM983056:TVM983156 UFI983056:UFI983156 UPE983056:UPE983156 UZA983056:UZA983156 VIW983056:VIW983156 VSS983056:VSS983156 WCO983056:WCO983156 WWG12:WWG65 WMK12:WMK65 WCO12:WCO65 VSS12:VSS65 VIW12:VIW65 UZA12:UZA65 UPE12:UPE65 UFI12:UFI65 TVM12:TVM65 TLQ12:TLQ65 TBU12:TBU65 SRY12:SRY65 SIC12:SIC65 RYG12:RYG65 ROK12:ROK65 REO12:REO65 QUS12:QUS65 QKW12:QKW65 QBA12:QBA65 PRE12:PRE65 PHI12:PHI65 OXM12:OXM65 ONQ12:ONQ65 ODU12:ODU65 NTY12:NTY65 NKC12:NKC65 NAG12:NAG65 MQK12:MQK65 MGO12:MGO65 LWS12:LWS65 LMW12:LMW65 LDA12:LDA65 KTE12:KTE65 KJI12:KJI65 JZM12:JZM65 JPQ12:JPQ65 JFU12:JFU65 IVY12:IVY65 IMC12:IMC65 ICG12:ICG65 HSK12:HSK65 HIO12:HIO65 GYS12:GYS65 GOW12:GOW65 GFA12:GFA65 FVE12:FVE65 FLI12:FLI65 FBM12:FBM65 ERQ12:ERQ65 EHU12:EHU65 DXY12:DXY65 DOC12:DOC65 DEG12:DEG65 CUK12:CUK65 CKO12:CKO65 CAS12:CAS65 BQW12:BQW65 BHA12:BHA65 AXE12:AXE65 ANI12:ANI65 ADM12:ADM65 TQ12:TQ65 JU12:JU65 JU67:JU116" xr:uid="{64641D79-E8B0-416F-B6A2-660A82ED43FF}">
      <formula1>$Y$10</formula1>
    </dataValidation>
    <dataValidation type="whole" operator="lessThanOrEqual" allowBlank="1" showInputMessage="1" showErrorMessage="1" error="INPUT NUMBER LESS THAN OR EQUAL THE HIGHEST POSSIBLE SCORE" prompt="Input Raw Score" sqref="WWF983056:WWF983156 TP67:TP116 ADL67:ADL116 ANH67:ANH116 AXD67:AXD116 BGZ67:BGZ116 BQV67:BQV116 CAR67:CAR116 CKN67:CKN116 CUJ67:CUJ116 DEF67:DEF116 DOB67:DOB116 DXX67:DXX116 EHT67:EHT116 ERP67:ERP116 FBL67:FBL116 FLH67:FLH116 FVD67:FVD116 GEZ67:GEZ116 GOV67:GOV116 GYR67:GYR116 HIN67:HIN116 HSJ67:HSJ116 ICF67:ICF116 IMB67:IMB116 IVX67:IVX116 JFT67:JFT116 JPP67:JPP116 JZL67:JZL116 KJH67:KJH116 KTD67:KTD116 LCZ67:LCZ116 LMV67:LMV116 LWR67:LWR116 MGN67:MGN116 MQJ67:MQJ116 NAF67:NAF116 NKB67:NKB116 NTX67:NTX116 ODT67:ODT116 ONP67:ONP116 OXL67:OXL116 PHH67:PHH116 PRD67:PRD116 QAZ67:QAZ116 QKV67:QKV116 QUR67:QUR116 REN67:REN116 ROJ67:ROJ116 RYF67:RYF116 SIB67:SIB116 SRX67:SRX116 TBT67:TBT116 TLP67:TLP116 TVL67:TVL116 UFH67:UFH116 UPD67:UPD116 UYZ67:UYZ116 VIV67:VIV116 VSR67:VSR116 WCN67:WCN116 WMJ67:WMJ116 WWF67:WWF116 WMJ983056:WMJ983156 X65552:X65652 JT65552:JT65652 TP65552:TP65652 ADL65552:ADL65652 ANH65552:ANH65652 AXD65552:AXD65652 BGZ65552:BGZ65652 BQV65552:BQV65652 CAR65552:CAR65652 CKN65552:CKN65652 CUJ65552:CUJ65652 DEF65552:DEF65652 DOB65552:DOB65652 DXX65552:DXX65652 EHT65552:EHT65652 ERP65552:ERP65652 FBL65552:FBL65652 FLH65552:FLH65652 FVD65552:FVD65652 GEZ65552:GEZ65652 GOV65552:GOV65652 GYR65552:GYR65652 HIN65552:HIN65652 HSJ65552:HSJ65652 ICF65552:ICF65652 IMB65552:IMB65652 IVX65552:IVX65652 JFT65552:JFT65652 JPP65552:JPP65652 JZL65552:JZL65652 KJH65552:KJH65652 KTD65552:KTD65652 LCZ65552:LCZ65652 LMV65552:LMV65652 LWR65552:LWR65652 MGN65552:MGN65652 MQJ65552:MQJ65652 NAF65552:NAF65652 NKB65552:NKB65652 NTX65552:NTX65652 ODT65552:ODT65652 ONP65552:ONP65652 OXL65552:OXL65652 PHH65552:PHH65652 PRD65552:PRD65652 QAZ65552:QAZ65652 QKV65552:QKV65652 QUR65552:QUR65652 REN65552:REN65652 ROJ65552:ROJ65652 RYF65552:RYF65652 SIB65552:SIB65652 SRX65552:SRX65652 TBT65552:TBT65652 TLP65552:TLP65652 TVL65552:TVL65652 UFH65552:UFH65652 UPD65552:UPD65652 UYZ65552:UYZ65652 VIV65552:VIV65652 VSR65552:VSR65652 WCN65552:WCN65652 WMJ65552:WMJ65652 WWF65552:WWF65652 X131088:X131188 JT131088:JT131188 TP131088:TP131188 ADL131088:ADL131188 ANH131088:ANH131188 AXD131088:AXD131188 BGZ131088:BGZ131188 BQV131088:BQV131188 CAR131088:CAR131188 CKN131088:CKN131188 CUJ131088:CUJ131188 DEF131088:DEF131188 DOB131088:DOB131188 DXX131088:DXX131188 EHT131088:EHT131188 ERP131088:ERP131188 FBL131088:FBL131188 FLH131088:FLH131188 FVD131088:FVD131188 GEZ131088:GEZ131188 GOV131088:GOV131188 GYR131088:GYR131188 HIN131088:HIN131188 HSJ131088:HSJ131188 ICF131088:ICF131188 IMB131088:IMB131188 IVX131088:IVX131188 JFT131088:JFT131188 JPP131088:JPP131188 JZL131088:JZL131188 KJH131088:KJH131188 KTD131088:KTD131188 LCZ131088:LCZ131188 LMV131088:LMV131188 LWR131088:LWR131188 MGN131088:MGN131188 MQJ131088:MQJ131188 NAF131088:NAF131188 NKB131088:NKB131188 NTX131088:NTX131188 ODT131088:ODT131188 ONP131088:ONP131188 OXL131088:OXL131188 PHH131088:PHH131188 PRD131088:PRD131188 QAZ131088:QAZ131188 QKV131088:QKV131188 QUR131088:QUR131188 REN131088:REN131188 ROJ131088:ROJ131188 RYF131088:RYF131188 SIB131088:SIB131188 SRX131088:SRX131188 TBT131088:TBT131188 TLP131088:TLP131188 TVL131088:TVL131188 UFH131088:UFH131188 UPD131088:UPD131188 UYZ131088:UYZ131188 VIV131088:VIV131188 VSR131088:VSR131188 WCN131088:WCN131188 WMJ131088:WMJ131188 WWF131088:WWF131188 X196624:X196724 JT196624:JT196724 TP196624:TP196724 ADL196624:ADL196724 ANH196624:ANH196724 AXD196624:AXD196724 BGZ196624:BGZ196724 BQV196624:BQV196724 CAR196624:CAR196724 CKN196624:CKN196724 CUJ196624:CUJ196724 DEF196624:DEF196724 DOB196624:DOB196724 DXX196624:DXX196724 EHT196624:EHT196724 ERP196624:ERP196724 FBL196624:FBL196724 FLH196624:FLH196724 FVD196624:FVD196724 GEZ196624:GEZ196724 GOV196624:GOV196724 GYR196624:GYR196724 HIN196624:HIN196724 HSJ196624:HSJ196724 ICF196624:ICF196724 IMB196624:IMB196724 IVX196624:IVX196724 JFT196624:JFT196724 JPP196624:JPP196724 JZL196624:JZL196724 KJH196624:KJH196724 KTD196624:KTD196724 LCZ196624:LCZ196724 LMV196624:LMV196724 LWR196624:LWR196724 MGN196624:MGN196724 MQJ196624:MQJ196724 NAF196624:NAF196724 NKB196624:NKB196724 NTX196624:NTX196724 ODT196624:ODT196724 ONP196624:ONP196724 OXL196624:OXL196724 PHH196624:PHH196724 PRD196624:PRD196724 QAZ196624:QAZ196724 QKV196624:QKV196724 QUR196624:QUR196724 REN196624:REN196724 ROJ196624:ROJ196724 RYF196624:RYF196724 SIB196624:SIB196724 SRX196624:SRX196724 TBT196624:TBT196724 TLP196624:TLP196724 TVL196624:TVL196724 UFH196624:UFH196724 UPD196624:UPD196724 UYZ196624:UYZ196724 VIV196624:VIV196724 VSR196624:VSR196724 WCN196624:WCN196724 WMJ196624:WMJ196724 WWF196624:WWF196724 X262160:X262260 JT262160:JT262260 TP262160:TP262260 ADL262160:ADL262260 ANH262160:ANH262260 AXD262160:AXD262260 BGZ262160:BGZ262260 BQV262160:BQV262260 CAR262160:CAR262260 CKN262160:CKN262260 CUJ262160:CUJ262260 DEF262160:DEF262260 DOB262160:DOB262260 DXX262160:DXX262260 EHT262160:EHT262260 ERP262160:ERP262260 FBL262160:FBL262260 FLH262160:FLH262260 FVD262160:FVD262260 GEZ262160:GEZ262260 GOV262160:GOV262260 GYR262160:GYR262260 HIN262160:HIN262260 HSJ262160:HSJ262260 ICF262160:ICF262260 IMB262160:IMB262260 IVX262160:IVX262260 JFT262160:JFT262260 JPP262160:JPP262260 JZL262160:JZL262260 KJH262160:KJH262260 KTD262160:KTD262260 LCZ262160:LCZ262260 LMV262160:LMV262260 LWR262160:LWR262260 MGN262160:MGN262260 MQJ262160:MQJ262260 NAF262160:NAF262260 NKB262160:NKB262260 NTX262160:NTX262260 ODT262160:ODT262260 ONP262160:ONP262260 OXL262160:OXL262260 PHH262160:PHH262260 PRD262160:PRD262260 QAZ262160:QAZ262260 QKV262160:QKV262260 QUR262160:QUR262260 REN262160:REN262260 ROJ262160:ROJ262260 RYF262160:RYF262260 SIB262160:SIB262260 SRX262160:SRX262260 TBT262160:TBT262260 TLP262160:TLP262260 TVL262160:TVL262260 UFH262160:UFH262260 UPD262160:UPD262260 UYZ262160:UYZ262260 VIV262160:VIV262260 VSR262160:VSR262260 WCN262160:WCN262260 WMJ262160:WMJ262260 WWF262160:WWF262260 X327696:X327796 JT327696:JT327796 TP327696:TP327796 ADL327696:ADL327796 ANH327696:ANH327796 AXD327696:AXD327796 BGZ327696:BGZ327796 BQV327696:BQV327796 CAR327696:CAR327796 CKN327696:CKN327796 CUJ327696:CUJ327796 DEF327696:DEF327796 DOB327696:DOB327796 DXX327696:DXX327796 EHT327696:EHT327796 ERP327696:ERP327796 FBL327696:FBL327796 FLH327696:FLH327796 FVD327696:FVD327796 GEZ327696:GEZ327796 GOV327696:GOV327796 GYR327696:GYR327796 HIN327696:HIN327796 HSJ327696:HSJ327796 ICF327696:ICF327796 IMB327696:IMB327796 IVX327696:IVX327796 JFT327696:JFT327796 JPP327696:JPP327796 JZL327696:JZL327796 KJH327696:KJH327796 KTD327696:KTD327796 LCZ327696:LCZ327796 LMV327696:LMV327796 LWR327696:LWR327796 MGN327696:MGN327796 MQJ327696:MQJ327796 NAF327696:NAF327796 NKB327696:NKB327796 NTX327696:NTX327796 ODT327696:ODT327796 ONP327696:ONP327796 OXL327696:OXL327796 PHH327696:PHH327796 PRD327696:PRD327796 QAZ327696:QAZ327796 QKV327696:QKV327796 QUR327696:QUR327796 REN327696:REN327796 ROJ327696:ROJ327796 RYF327696:RYF327796 SIB327696:SIB327796 SRX327696:SRX327796 TBT327696:TBT327796 TLP327696:TLP327796 TVL327696:TVL327796 UFH327696:UFH327796 UPD327696:UPD327796 UYZ327696:UYZ327796 VIV327696:VIV327796 VSR327696:VSR327796 WCN327696:WCN327796 WMJ327696:WMJ327796 WWF327696:WWF327796 X393232:X393332 JT393232:JT393332 TP393232:TP393332 ADL393232:ADL393332 ANH393232:ANH393332 AXD393232:AXD393332 BGZ393232:BGZ393332 BQV393232:BQV393332 CAR393232:CAR393332 CKN393232:CKN393332 CUJ393232:CUJ393332 DEF393232:DEF393332 DOB393232:DOB393332 DXX393232:DXX393332 EHT393232:EHT393332 ERP393232:ERP393332 FBL393232:FBL393332 FLH393232:FLH393332 FVD393232:FVD393332 GEZ393232:GEZ393332 GOV393232:GOV393332 GYR393232:GYR393332 HIN393232:HIN393332 HSJ393232:HSJ393332 ICF393232:ICF393332 IMB393232:IMB393332 IVX393232:IVX393332 JFT393232:JFT393332 JPP393232:JPP393332 JZL393232:JZL393332 KJH393232:KJH393332 KTD393232:KTD393332 LCZ393232:LCZ393332 LMV393232:LMV393332 LWR393232:LWR393332 MGN393232:MGN393332 MQJ393232:MQJ393332 NAF393232:NAF393332 NKB393232:NKB393332 NTX393232:NTX393332 ODT393232:ODT393332 ONP393232:ONP393332 OXL393232:OXL393332 PHH393232:PHH393332 PRD393232:PRD393332 QAZ393232:QAZ393332 QKV393232:QKV393332 QUR393232:QUR393332 REN393232:REN393332 ROJ393232:ROJ393332 RYF393232:RYF393332 SIB393232:SIB393332 SRX393232:SRX393332 TBT393232:TBT393332 TLP393232:TLP393332 TVL393232:TVL393332 UFH393232:UFH393332 UPD393232:UPD393332 UYZ393232:UYZ393332 VIV393232:VIV393332 VSR393232:VSR393332 WCN393232:WCN393332 WMJ393232:WMJ393332 WWF393232:WWF393332 X458768:X458868 JT458768:JT458868 TP458768:TP458868 ADL458768:ADL458868 ANH458768:ANH458868 AXD458768:AXD458868 BGZ458768:BGZ458868 BQV458768:BQV458868 CAR458768:CAR458868 CKN458768:CKN458868 CUJ458768:CUJ458868 DEF458768:DEF458868 DOB458768:DOB458868 DXX458768:DXX458868 EHT458768:EHT458868 ERP458768:ERP458868 FBL458768:FBL458868 FLH458768:FLH458868 FVD458768:FVD458868 GEZ458768:GEZ458868 GOV458768:GOV458868 GYR458768:GYR458868 HIN458768:HIN458868 HSJ458768:HSJ458868 ICF458768:ICF458868 IMB458768:IMB458868 IVX458768:IVX458868 JFT458768:JFT458868 JPP458768:JPP458868 JZL458768:JZL458868 KJH458768:KJH458868 KTD458768:KTD458868 LCZ458768:LCZ458868 LMV458768:LMV458868 LWR458768:LWR458868 MGN458768:MGN458868 MQJ458768:MQJ458868 NAF458768:NAF458868 NKB458768:NKB458868 NTX458768:NTX458868 ODT458768:ODT458868 ONP458768:ONP458868 OXL458768:OXL458868 PHH458768:PHH458868 PRD458768:PRD458868 QAZ458768:QAZ458868 QKV458768:QKV458868 QUR458768:QUR458868 REN458768:REN458868 ROJ458768:ROJ458868 RYF458768:RYF458868 SIB458768:SIB458868 SRX458768:SRX458868 TBT458768:TBT458868 TLP458768:TLP458868 TVL458768:TVL458868 UFH458768:UFH458868 UPD458768:UPD458868 UYZ458768:UYZ458868 VIV458768:VIV458868 VSR458768:VSR458868 WCN458768:WCN458868 WMJ458768:WMJ458868 WWF458768:WWF458868 X524304:X524404 JT524304:JT524404 TP524304:TP524404 ADL524304:ADL524404 ANH524304:ANH524404 AXD524304:AXD524404 BGZ524304:BGZ524404 BQV524304:BQV524404 CAR524304:CAR524404 CKN524304:CKN524404 CUJ524304:CUJ524404 DEF524304:DEF524404 DOB524304:DOB524404 DXX524304:DXX524404 EHT524304:EHT524404 ERP524304:ERP524404 FBL524304:FBL524404 FLH524304:FLH524404 FVD524304:FVD524404 GEZ524304:GEZ524404 GOV524304:GOV524404 GYR524304:GYR524404 HIN524304:HIN524404 HSJ524304:HSJ524404 ICF524304:ICF524404 IMB524304:IMB524404 IVX524304:IVX524404 JFT524304:JFT524404 JPP524304:JPP524404 JZL524304:JZL524404 KJH524304:KJH524404 KTD524304:KTD524404 LCZ524304:LCZ524404 LMV524304:LMV524404 LWR524304:LWR524404 MGN524304:MGN524404 MQJ524304:MQJ524404 NAF524304:NAF524404 NKB524304:NKB524404 NTX524304:NTX524404 ODT524304:ODT524404 ONP524304:ONP524404 OXL524304:OXL524404 PHH524304:PHH524404 PRD524304:PRD524404 QAZ524304:QAZ524404 QKV524304:QKV524404 QUR524304:QUR524404 REN524304:REN524404 ROJ524304:ROJ524404 RYF524304:RYF524404 SIB524304:SIB524404 SRX524304:SRX524404 TBT524304:TBT524404 TLP524304:TLP524404 TVL524304:TVL524404 UFH524304:UFH524404 UPD524304:UPD524404 UYZ524304:UYZ524404 VIV524304:VIV524404 VSR524304:VSR524404 WCN524304:WCN524404 WMJ524304:WMJ524404 WWF524304:WWF524404 X589840:X589940 JT589840:JT589940 TP589840:TP589940 ADL589840:ADL589940 ANH589840:ANH589940 AXD589840:AXD589940 BGZ589840:BGZ589940 BQV589840:BQV589940 CAR589840:CAR589940 CKN589840:CKN589940 CUJ589840:CUJ589940 DEF589840:DEF589940 DOB589840:DOB589940 DXX589840:DXX589940 EHT589840:EHT589940 ERP589840:ERP589940 FBL589840:FBL589940 FLH589840:FLH589940 FVD589840:FVD589940 GEZ589840:GEZ589940 GOV589840:GOV589940 GYR589840:GYR589940 HIN589840:HIN589940 HSJ589840:HSJ589940 ICF589840:ICF589940 IMB589840:IMB589940 IVX589840:IVX589940 JFT589840:JFT589940 JPP589840:JPP589940 JZL589840:JZL589940 KJH589840:KJH589940 KTD589840:KTD589940 LCZ589840:LCZ589940 LMV589840:LMV589940 LWR589840:LWR589940 MGN589840:MGN589940 MQJ589840:MQJ589940 NAF589840:NAF589940 NKB589840:NKB589940 NTX589840:NTX589940 ODT589840:ODT589940 ONP589840:ONP589940 OXL589840:OXL589940 PHH589840:PHH589940 PRD589840:PRD589940 QAZ589840:QAZ589940 QKV589840:QKV589940 QUR589840:QUR589940 REN589840:REN589940 ROJ589840:ROJ589940 RYF589840:RYF589940 SIB589840:SIB589940 SRX589840:SRX589940 TBT589840:TBT589940 TLP589840:TLP589940 TVL589840:TVL589940 UFH589840:UFH589940 UPD589840:UPD589940 UYZ589840:UYZ589940 VIV589840:VIV589940 VSR589840:VSR589940 WCN589840:WCN589940 WMJ589840:WMJ589940 WWF589840:WWF589940 X655376:X655476 JT655376:JT655476 TP655376:TP655476 ADL655376:ADL655476 ANH655376:ANH655476 AXD655376:AXD655476 BGZ655376:BGZ655476 BQV655376:BQV655476 CAR655376:CAR655476 CKN655376:CKN655476 CUJ655376:CUJ655476 DEF655376:DEF655476 DOB655376:DOB655476 DXX655376:DXX655476 EHT655376:EHT655476 ERP655376:ERP655476 FBL655376:FBL655476 FLH655376:FLH655476 FVD655376:FVD655476 GEZ655376:GEZ655476 GOV655376:GOV655476 GYR655376:GYR655476 HIN655376:HIN655476 HSJ655376:HSJ655476 ICF655376:ICF655476 IMB655376:IMB655476 IVX655376:IVX655476 JFT655376:JFT655476 JPP655376:JPP655476 JZL655376:JZL655476 KJH655376:KJH655476 KTD655376:KTD655476 LCZ655376:LCZ655476 LMV655376:LMV655476 LWR655376:LWR655476 MGN655376:MGN655476 MQJ655376:MQJ655476 NAF655376:NAF655476 NKB655376:NKB655476 NTX655376:NTX655476 ODT655376:ODT655476 ONP655376:ONP655476 OXL655376:OXL655476 PHH655376:PHH655476 PRD655376:PRD655476 QAZ655376:QAZ655476 QKV655376:QKV655476 QUR655376:QUR655476 REN655376:REN655476 ROJ655376:ROJ655476 RYF655376:RYF655476 SIB655376:SIB655476 SRX655376:SRX655476 TBT655376:TBT655476 TLP655376:TLP655476 TVL655376:TVL655476 UFH655376:UFH655476 UPD655376:UPD655476 UYZ655376:UYZ655476 VIV655376:VIV655476 VSR655376:VSR655476 WCN655376:WCN655476 WMJ655376:WMJ655476 WWF655376:WWF655476 X720912:X721012 JT720912:JT721012 TP720912:TP721012 ADL720912:ADL721012 ANH720912:ANH721012 AXD720912:AXD721012 BGZ720912:BGZ721012 BQV720912:BQV721012 CAR720912:CAR721012 CKN720912:CKN721012 CUJ720912:CUJ721012 DEF720912:DEF721012 DOB720912:DOB721012 DXX720912:DXX721012 EHT720912:EHT721012 ERP720912:ERP721012 FBL720912:FBL721012 FLH720912:FLH721012 FVD720912:FVD721012 GEZ720912:GEZ721012 GOV720912:GOV721012 GYR720912:GYR721012 HIN720912:HIN721012 HSJ720912:HSJ721012 ICF720912:ICF721012 IMB720912:IMB721012 IVX720912:IVX721012 JFT720912:JFT721012 JPP720912:JPP721012 JZL720912:JZL721012 KJH720912:KJH721012 KTD720912:KTD721012 LCZ720912:LCZ721012 LMV720912:LMV721012 LWR720912:LWR721012 MGN720912:MGN721012 MQJ720912:MQJ721012 NAF720912:NAF721012 NKB720912:NKB721012 NTX720912:NTX721012 ODT720912:ODT721012 ONP720912:ONP721012 OXL720912:OXL721012 PHH720912:PHH721012 PRD720912:PRD721012 QAZ720912:QAZ721012 QKV720912:QKV721012 QUR720912:QUR721012 REN720912:REN721012 ROJ720912:ROJ721012 RYF720912:RYF721012 SIB720912:SIB721012 SRX720912:SRX721012 TBT720912:TBT721012 TLP720912:TLP721012 TVL720912:TVL721012 UFH720912:UFH721012 UPD720912:UPD721012 UYZ720912:UYZ721012 VIV720912:VIV721012 VSR720912:VSR721012 WCN720912:WCN721012 WMJ720912:WMJ721012 WWF720912:WWF721012 X786448:X786548 JT786448:JT786548 TP786448:TP786548 ADL786448:ADL786548 ANH786448:ANH786548 AXD786448:AXD786548 BGZ786448:BGZ786548 BQV786448:BQV786548 CAR786448:CAR786548 CKN786448:CKN786548 CUJ786448:CUJ786548 DEF786448:DEF786548 DOB786448:DOB786548 DXX786448:DXX786548 EHT786448:EHT786548 ERP786448:ERP786548 FBL786448:FBL786548 FLH786448:FLH786548 FVD786448:FVD786548 GEZ786448:GEZ786548 GOV786448:GOV786548 GYR786448:GYR786548 HIN786448:HIN786548 HSJ786448:HSJ786548 ICF786448:ICF786548 IMB786448:IMB786548 IVX786448:IVX786548 JFT786448:JFT786548 JPP786448:JPP786548 JZL786448:JZL786548 KJH786448:KJH786548 KTD786448:KTD786548 LCZ786448:LCZ786548 LMV786448:LMV786548 LWR786448:LWR786548 MGN786448:MGN786548 MQJ786448:MQJ786548 NAF786448:NAF786548 NKB786448:NKB786548 NTX786448:NTX786548 ODT786448:ODT786548 ONP786448:ONP786548 OXL786448:OXL786548 PHH786448:PHH786548 PRD786448:PRD786548 QAZ786448:QAZ786548 QKV786448:QKV786548 QUR786448:QUR786548 REN786448:REN786548 ROJ786448:ROJ786548 RYF786448:RYF786548 SIB786448:SIB786548 SRX786448:SRX786548 TBT786448:TBT786548 TLP786448:TLP786548 TVL786448:TVL786548 UFH786448:UFH786548 UPD786448:UPD786548 UYZ786448:UYZ786548 VIV786448:VIV786548 VSR786448:VSR786548 WCN786448:WCN786548 WMJ786448:WMJ786548 WWF786448:WWF786548 X851984:X852084 JT851984:JT852084 TP851984:TP852084 ADL851984:ADL852084 ANH851984:ANH852084 AXD851984:AXD852084 BGZ851984:BGZ852084 BQV851984:BQV852084 CAR851984:CAR852084 CKN851984:CKN852084 CUJ851984:CUJ852084 DEF851984:DEF852084 DOB851984:DOB852084 DXX851984:DXX852084 EHT851984:EHT852084 ERP851984:ERP852084 FBL851984:FBL852084 FLH851984:FLH852084 FVD851984:FVD852084 GEZ851984:GEZ852084 GOV851984:GOV852084 GYR851984:GYR852084 HIN851984:HIN852084 HSJ851984:HSJ852084 ICF851984:ICF852084 IMB851984:IMB852084 IVX851984:IVX852084 JFT851984:JFT852084 JPP851984:JPP852084 JZL851984:JZL852084 KJH851984:KJH852084 KTD851984:KTD852084 LCZ851984:LCZ852084 LMV851984:LMV852084 LWR851984:LWR852084 MGN851984:MGN852084 MQJ851984:MQJ852084 NAF851984:NAF852084 NKB851984:NKB852084 NTX851984:NTX852084 ODT851984:ODT852084 ONP851984:ONP852084 OXL851984:OXL852084 PHH851984:PHH852084 PRD851984:PRD852084 QAZ851984:QAZ852084 QKV851984:QKV852084 QUR851984:QUR852084 REN851984:REN852084 ROJ851984:ROJ852084 RYF851984:RYF852084 SIB851984:SIB852084 SRX851984:SRX852084 TBT851984:TBT852084 TLP851984:TLP852084 TVL851984:TVL852084 UFH851984:UFH852084 UPD851984:UPD852084 UYZ851984:UYZ852084 VIV851984:VIV852084 VSR851984:VSR852084 WCN851984:WCN852084 WMJ851984:WMJ852084 WWF851984:WWF852084 X917520:X917620 JT917520:JT917620 TP917520:TP917620 ADL917520:ADL917620 ANH917520:ANH917620 AXD917520:AXD917620 BGZ917520:BGZ917620 BQV917520:BQV917620 CAR917520:CAR917620 CKN917520:CKN917620 CUJ917520:CUJ917620 DEF917520:DEF917620 DOB917520:DOB917620 DXX917520:DXX917620 EHT917520:EHT917620 ERP917520:ERP917620 FBL917520:FBL917620 FLH917520:FLH917620 FVD917520:FVD917620 GEZ917520:GEZ917620 GOV917520:GOV917620 GYR917520:GYR917620 HIN917520:HIN917620 HSJ917520:HSJ917620 ICF917520:ICF917620 IMB917520:IMB917620 IVX917520:IVX917620 JFT917520:JFT917620 JPP917520:JPP917620 JZL917520:JZL917620 KJH917520:KJH917620 KTD917520:KTD917620 LCZ917520:LCZ917620 LMV917520:LMV917620 LWR917520:LWR917620 MGN917520:MGN917620 MQJ917520:MQJ917620 NAF917520:NAF917620 NKB917520:NKB917620 NTX917520:NTX917620 ODT917520:ODT917620 ONP917520:ONP917620 OXL917520:OXL917620 PHH917520:PHH917620 PRD917520:PRD917620 QAZ917520:QAZ917620 QKV917520:QKV917620 QUR917520:QUR917620 REN917520:REN917620 ROJ917520:ROJ917620 RYF917520:RYF917620 SIB917520:SIB917620 SRX917520:SRX917620 TBT917520:TBT917620 TLP917520:TLP917620 TVL917520:TVL917620 UFH917520:UFH917620 UPD917520:UPD917620 UYZ917520:UYZ917620 VIV917520:VIV917620 VSR917520:VSR917620 WCN917520:WCN917620 WMJ917520:WMJ917620 WWF917520:WWF917620 X983056:X983156 JT983056:JT983156 TP983056:TP983156 ADL983056:ADL983156 ANH983056:ANH983156 AXD983056:AXD983156 BGZ983056:BGZ983156 BQV983056:BQV983156 CAR983056:CAR983156 CKN983056:CKN983156 CUJ983056:CUJ983156 DEF983056:DEF983156 DOB983056:DOB983156 DXX983056:DXX983156 EHT983056:EHT983156 ERP983056:ERP983156 FBL983056:FBL983156 FLH983056:FLH983156 FVD983056:FVD983156 GEZ983056:GEZ983156 GOV983056:GOV983156 GYR983056:GYR983156 HIN983056:HIN983156 HSJ983056:HSJ983156 ICF983056:ICF983156 IMB983056:IMB983156 IVX983056:IVX983156 JFT983056:JFT983156 JPP983056:JPP983156 JZL983056:JZL983156 KJH983056:KJH983156 KTD983056:KTD983156 LCZ983056:LCZ983156 LMV983056:LMV983156 LWR983056:LWR983156 MGN983056:MGN983156 MQJ983056:MQJ983156 NAF983056:NAF983156 NKB983056:NKB983156 NTX983056:NTX983156 ODT983056:ODT983156 ONP983056:ONP983156 OXL983056:OXL983156 PHH983056:PHH983156 PRD983056:PRD983156 QAZ983056:QAZ983156 QKV983056:QKV983156 QUR983056:QUR983156 REN983056:REN983156 ROJ983056:ROJ983156 RYF983056:RYF983156 SIB983056:SIB983156 SRX983056:SRX983156 TBT983056:TBT983156 TLP983056:TLP983156 TVL983056:TVL983156 UFH983056:UFH983156 UPD983056:UPD983156 UYZ983056:UYZ983156 VIV983056:VIV983156 VSR983056:VSR983156 WCN983056:WCN983156 WWF12:WWF65 WMJ12:WMJ65 WCN12:WCN65 VSR12:VSR65 VIV12:VIV65 UYZ12:UYZ65 UPD12:UPD65 UFH12:UFH65 TVL12:TVL65 TLP12:TLP65 TBT12:TBT65 SRX12:SRX65 SIB12:SIB65 RYF12:RYF65 ROJ12:ROJ65 REN12:REN65 QUR12:QUR65 QKV12:QKV65 QAZ12:QAZ65 PRD12:PRD65 PHH12:PHH65 OXL12:OXL65 ONP12:ONP65 ODT12:ODT65 NTX12:NTX65 NKB12:NKB65 NAF12:NAF65 MQJ12:MQJ65 MGN12:MGN65 LWR12:LWR65 LMV12:LMV65 LCZ12:LCZ65 KTD12:KTD65 KJH12:KJH65 JZL12:JZL65 JPP12:JPP65 JFT12:JFT65 IVX12:IVX65 IMB12:IMB65 ICF12:ICF65 HSJ12:HSJ65 HIN12:HIN65 GYR12:GYR65 GOV12:GOV65 GEZ12:GEZ65 FVD12:FVD65 FLH12:FLH65 FBL12:FBL65 ERP12:ERP65 EHT12:EHT65 DXX12:DXX65 DOB12:DOB65 DEF12:DEF65 CUJ12:CUJ65 CKN12:CKN65 CAR12:CAR65 BQV12:BQV65 BGZ12:BGZ65 AXD12:AXD65 ANH12:ANH65 ADL12:ADL65 TP12:TP65 JT12:JT65 JT67:JT116" xr:uid="{F7094B96-2A6A-422F-A22A-59A6DC8C0B52}">
      <formula1>$X$10</formula1>
    </dataValidation>
    <dataValidation type="whole" operator="lessThanOrEqual" allowBlank="1" showInputMessage="1" showErrorMessage="1" error="INPUT NUMBER LESS THAN OR EQUAL THE HIGHEST POSSIBLE SCORE" prompt="Input Raw Score" sqref="WWE983056:WWE983156 TO67:TO116 ADK67:ADK116 ANG67:ANG116 AXC67:AXC116 BGY67:BGY116 BQU67:BQU116 CAQ67:CAQ116 CKM67:CKM116 CUI67:CUI116 DEE67:DEE116 DOA67:DOA116 DXW67:DXW116 EHS67:EHS116 ERO67:ERO116 FBK67:FBK116 FLG67:FLG116 FVC67:FVC116 GEY67:GEY116 GOU67:GOU116 GYQ67:GYQ116 HIM67:HIM116 HSI67:HSI116 ICE67:ICE116 IMA67:IMA116 IVW67:IVW116 JFS67:JFS116 JPO67:JPO116 JZK67:JZK116 KJG67:KJG116 KTC67:KTC116 LCY67:LCY116 LMU67:LMU116 LWQ67:LWQ116 MGM67:MGM116 MQI67:MQI116 NAE67:NAE116 NKA67:NKA116 NTW67:NTW116 ODS67:ODS116 ONO67:ONO116 OXK67:OXK116 PHG67:PHG116 PRC67:PRC116 QAY67:QAY116 QKU67:QKU116 QUQ67:QUQ116 REM67:REM116 ROI67:ROI116 RYE67:RYE116 SIA67:SIA116 SRW67:SRW116 TBS67:TBS116 TLO67:TLO116 TVK67:TVK116 UFG67:UFG116 UPC67:UPC116 UYY67:UYY116 VIU67:VIU116 VSQ67:VSQ116 WCM67:WCM116 WMI67:WMI116 WWE67:WWE116 WMI983056:WMI983156 W65552:W65652 JS65552:JS65652 TO65552:TO65652 ADK65552:ADK65652 ANG65552:ANG65652 AXC65552:AXC65652 BGY65552:BGY65652 BQU65552:BQU65652 CAQ65552:CAQ65652 CKM65552:CKM65652 CUI65552:CUI65652 DEE65552:DEE65652 DOA65552:DOA65652 DXW65552:DXW65652 EHS65552:EHS65652 ERO65552:ERO65652 FBK65552:FBK65652 FLG65552:FLG65652 FVC65552:FVC65652 GEY65552:GEY65652 GOU65552:GOU65652 GYQ65552:GYQ65652 HIM65552:HIM65652 HSI65552:HSI65652 ICE65552:ICE65652 IMA65552:IMA65652 IVW65552:IVW65652 JFS65552:JFS65652 JPO65552:JPO65652 JZK65552:JZK65652 KJG65552:KJG65652 KTC65552:KTC65652 LCY65552:LCY65652 LMU65552:LMU65652 LWQ65552:LWQ65652 MGM65552:MGM65652 MQI65552:MQI65652 NAE65552:NAE65652 NKA65552:NKA65652 NTW65552:NTW65652 ODS65552:ODS65652 ONO65552:ONO65652 OXK65552:OXK65652 PHG65552:PHG65652 PRC65552:PRC65652 QAY65552:QAY65652 QKU65552:QKU65652 QUQ65552:QUQ65652 REM65552:REM65652 ROI65552:ROI65652 RYE65552:RYE65652 SIA65552:SIA65652 SRW65552:SRW65652 TBS65552:TBS65652 TLO65552:TLO65652 TVK65552:TVK65652 UFG65552:UFG65652 UPC65552:UPC65652 UYY65552:UYY65652 VIU65552:VIU65652 VSQ65552:VSQ65652 WCM65552:WCM65652 WMI65552:WMI65652 WWE65552:WWE65652 W131088:W131188 JS131088:JS131188 TO131088:TO131188 ADK131088:ADK131188 ANG131088:ANG131188 AXC131088:AXC131188 BGY131088:BGY131188 BQU131088:BQU131188 CAQ131088:CAQ131188 CKM131088:CKM131188 CUI131088:CUI131188 DEE131088:DEE131188 DOA131088:DOA131188 DXW131088:DXW131188 EHS131088:EHS131188 ERO131088:ERO131188 FBK131088:FBK131188 FLG131088:FLG131188 FVC131088:FVC131188 GEY131088:GEY131188 GOU131088:GOU131188 GYQ131088:GYQ131188 HIM131088:HIM131188 HSI131088:HSI131188 ICE131088:ICE131188 IMA131088:IMA131188 IVW131088:IVW131188 JFS131088:JFS131188 JPO131088:JPO131188 JZK131088:JZK131188 KJG131088:KJG131188 KTC131088:KTC131188 LCY131088:LCY131188 LMU131088:LMU131188 LWQ131088:LWQ131188 MGM131088:MGM131188 MQI131088:MQI131188 NAE131088:NAE131188 NKA131088:NKA131188 NTW131088:NTW131188 ODS131088:ODS131188 ONO131088:ONO131188 OXK131088:OXK131188 PHG131088:PHG131188 PRC131088:PRC131188 QAY131088:QAY131188 QKU131088:QKU131188 QUQ131088:QUQ131188 REM131088:REM131188 ROI131088:ROI131188 RYE131088:RYE131188 SIA131088:SIA131188 SRW131088:SRW131188 TBS131088:TBS131188 TLO131088:TLO131188 TVK131088:TVK131188 UFG131088:UFG131188 UPC131088:UPC131188 UYY131088:UYY131188 VIU131088:VIU131188 VSQ131088:VSQ131188 WCM131088:WCM131188 WMI131088:WMI131188 WWE131088:WWE131188 W196624:W196724 JS196624:JS196724 TO196624:TO196724 ADK196624:ADK196724 ANG196624:ANG196724 AXC196624:AXC196724 BGY196624:BGY196724 BQU196624:BQU196724 CAQ196624:CAQ196724 CKM196624:CKM196724 CUI196624:CUI196724 DEE196624:DEE196724 DOA196624:DOA196724 DXW196624:DXW196724 EHS196624:EHS196724 ERO196624:ERO196724 FBK196624:FBK196724 FLG196624:FLG196724 FVC196624:FVC196724 GEY196624:GEY196724 GOU196624:GOU196724 GYQ196624:GYQ196724 HIM196624:HIM196724 HSI196624:HSI196724 ICE196624:ICE196724 IMA196624:IMA196724 IVW196624:IVW196724 JFS196624:JFS196724 JPO196624:JPO196724 JZK196624:JZK196724 KJG196624:KJG196724 KTC196624:KTC196724 LCY196624:LCY196724 LMU196624:LMU196724 LWQ196624:LWQ196724 MGM196624:MGM196724 MQI196624:MQI196724 NAE196624:NAE196724 NKA196624:NKA196724 NTW196624:NTW196724 ODS196624:ODS196724 ONO196624:ONO196724 OXK196624:OXK196724 PHG196624:PHG196724 PRC196624:PRC196724 QAY196624:QAY196724 QKU196624:QKU196724 QUQ196624:QUQ196724 REM196624:REM196724 ROI196624:ROI196724 RYE196624:RYE196724 SIA196624:SIA196724 SRW196624:SRW196724 TBS196624:TBS196724 TLO196624:TLO196724 TVK196624:TVK196724 UFG196624:UFG196724 UPC196624:UPC196724 UYY196624:UYY196724 VIU196624:VIU196724 VSQ196624:VSQ196724 WCM196624:WCM196724 WMI196624:WMI196724 WWE196624:WWE196724 W262160:W262260 JS262160:JS262260 TO262160:TO262260 ADK262160:ADK262260 ANG262160:ANG262260 AXC262160:AXC262260 BGY262160:BGY262260 BQU262160:BQU262260 CAQ262160:CAQ262260 CKM262160:CKM262260 CUI262160:CUI262260 DEE262160:DEE262260 DOA262160:DOA262260 DXW262160:DXW262260 EHS262160:EHS262260 ERO262160:ERO262260 FBK262160:FBK262260 FLG262160:FLG262260 FVC262160:FVC262260 GEY262160:GEY262260 GOU262160:GOU262260 GYQ262160:GYQ262260 HIM262160:HIM262260 HSI262160:HSI262260 ICE262160:ICE262260 IMA262160:IMA262260 IVW262160:IVW262260 JFS262160:JFS262260 JPO262160:JPO262260 JZK262160:JZK262260 KJG262160:KJG262260 KTC262160:KTC262260 LCY262160:LCY262260 LMU262160:LMU262260 LWQ262160:LWQ262260 MGM262160:MGM262260 MQI262160:MQI262260 NAE262160:NAE262260 NKA262160:NKA262260 NTW262160:NTW262260 ODS262160:ODS262260 ONO262160:ONO262260 OXK262160:OXK262260 PHG262160:PHG262260 PRC262160:PRC262260 QAY262160:QAY262260 QKU262160:QKU262260 QUQ262160:QUQ262260 REM262160:REM262260 ROI262160:ROI262260 RYE262160:RYE262260 SIA262160:SIA262260 SRW262160:SRW262260 TBS262160:TBS262260 TLO262160:TLO262260 TVK262160:TVK262260 UFG262160:UFG262260 UPC262160:UPC262260 UYY262160:UYY262260 VIU262160:VIU262260 VSQ262160:VSQ262260 WCM262160:WCM262260 WMI262160:WMI262260 WWE262160:WWE262260 W327696:W327796 JS327696:JS327796 TO327696:TO327796 ADK327696:ADK327796 ANG327696:ANG327796 AXC327696:AXC327796 BGY327696:BGY327796 BQU327696:BQU327796 CAQ327696:CAQ327796 CKM327696:CKM327796 CUI327696:CUI327796 DEE327696:DEE327796 DOA327696:DOA327796 DXW327696:DXW327796 EHS327696:EHS327796 ERO327696:ERO327796 FBK327696:FBK327796 FLG327696:FLG327796 FVC327696:FVC327796 GEY327696:GEY327796 GOU327696:GOU327796 GYQ327696:GYQ327796 HIM327696:HIM327796 HSI327696:HSI327796 ICE327696:ICE327796 IMA327696:IMA327796 IVW327696:IVW327796 JFS327696:JFS327796 JPO327696:JPO327796 JZK327696:JZK327796 KJG327696:KJG327796 KTC327696:KTC327796 LCY327696:LCY327796 LMU327696:LMU327796 LWQ327696:LWQ327796 MGM327696:MGM327796 MQI327696:MQI327796 NAE327696:NAE327796 NKA327696:NKA327796 NTW327696:NTW327796 ODS327696:ODS327796 ONO327696:ONO327796 OXK327696:OXK327796 PHG327696:PHG327796 PRC327696:PRC327796 QAY327696:QAY327796 QKU327696:QKU327796 QUQ327696:QUQ327796 REM327696:REM327796 ROI327696:ROI327796 RYE327696:RYE327796 SIA327696:SIA327796 SRW327696:SRW327796 TBS327696:TBS327796 TLO327696:TLO327796 TVK327696:TVK327796 UFG327696:UFG327796 UPC327696:UPC327796 UYY327696:UYY327796 VIU327696:VIU327796 VSQ327696:VSQ327796 WCM327696:WCM327796 WMI327696:WMI327796 WWE327696:WWE327796 W393232:W393332 JS393232:JS393332 TO393232:TO393332 ADK393232:ADK393332 ANG393232:ANG393332 AXC393232:AXC393332 BGY393232:BGY393332 BQU393232:BQU393332 CAQ393232:CAQ393332 CKM393232:CKM393332 CUI393232:CUI393332 DEE393232:DEE393332 DOA393232:DOA393332 DXW393232:DXW393332 EHS393232:EHS393332 ERO393232:ERO393332 FBK393232:FBK393332 FLG393232:FLG393332 FVC393232:FVC393332 GEY393232:GEY393332 GOU393232:GOU393332 GYQ393232:GYQ393332 HIM393232:HIM393332 HSI393232:HSI393332 ICE393232:ICE393332 IMA393232:IMA393332 IVW393232:IVW393332 JFS393232:JFS393332 JPO393232:JPO393332 JZK393232:JZK393332 KJG393232:KJG393332 KTC393232:KTC393332 LCY393232:LCY393332 LMU393232:LMU393332 LWQ393232:LWQ393332 MGM393232:MGM393332 MQI393232:MQI393332 NAE393232:NAE393332 NKA393232:NKA393332 NTW393232:NTW393332 ODS393232:ODS393332 ONO393232:ONO393332 OXK393232:OXK393332 PHG393232:PHG393332 PRC393232:PRC393332 QAY393232:QAY393332 QKU393232:QKU393332 QUQ393232:QUQ393332 REM393232:REM393332 ROI393232:ROI393332 RYE393232:RYE393332 SIA393232:SIA393332 SRW393232:SRW393332 TBS393232:TBS393332 TLO393232:TLO393332 TVK393232:TVK393332 UFG393232:UFG393332 UPC393232:UPC393332 UYY393232:UYY393332 VIU393232:VIU393332 VSQ393232:VSQ393332 WCM393232:WCM393332 WMI393232:WMI393332 WWE393232:WWE393332 W458768:W458868 JS458768:JS458868 TO458768:TO458868 ADK458768:ADK458868 ANG458768:ANG458868 AXC458768:AXC458868 BGY458768:BGY458868 BQU458768:BQU458868 CAQ458768:CAQ458868 CKM458768:CKM458868 CUI458768:CUI458868 DEE458768:DEE458868 DOA458768:DOA458868 DXW458768:DXW458868 EHS458768:EHS458868 ERO458768:ERO458868 FBK458768:FBK458868 FLG458768:FLG458868 FVC458768:FVC458868 GEY458768:GEY458868 GOU458768:GOU458868 GYQ458768:GYQ458868 HIM458768:HIM458868 HSI458768:HSI458868 ICE458768:ICE458868 IMA458768:IMA458868 IVW458768:IVW458868 JFS458768:JFS458868 JPO458768:JPO458868 JZK458768:JZK458868 KJG458768:KJG458868 KTC458768:KTC458868 LCY458768:LCY458868 LMU458768:LMU458868 LWQ458768:LWQ458868 MGM458768:MGM458868 MQI458768:MQI458868 NAE458768:NAE458868 NKA458768:NKA458868 NTW458768:NTW458868 ODS458768:ODS458868 ONO458768:ONO458868 OXK458768:OXK458868 PHG458768:PHG458868 PRC458768:PRC458868 QAY458768:QAY458868 QKU458768:QKU458868 QUQ458768:QUQ458868 REM458768:REM458868 ROI458768:ROI458868 RYE458768:RYE458868 SIA458768:SIA458868 SRW458768:SRW458868 TBS458768:TBS458868 TLO458768:TLO458868 TVK458768:TVK458868 UFG458768:UFG458868 UPC458768:UPC458868 UYY458768:UYY458868 VIU458768:VIU458868 VSQ458768:VSQ458868 WCM458768:WCM458868 WMI458768:WMI458868 WWE458768:WWE458868 W524304:W524404 JS524304:JS524404 TO524304:TO524404 ADK524304:ADK524404 ANG524304:ANG524404 AXC524304:AXC524404 BGY524304:BGY524404 BQU524304:BQU524404 CAQ524304:CAQ524404 CKM524304:CKM524404 CUI524304:CUI524404 DEE524304:DEE524404 DOA524304:DOA524404 DXW524304:DXW524404 EHS524304:EHS524404 ERO524304:ERO524404 FBK524304:FBK524404 FLG524304:FLG524404 FVC524304:FVC524404 GEY524304:GEY524404 GOU524304:GOU524404 GYQ524304:GYQ524404 HIM524304:HIM524404 HSI524304:HSI524404 ICE524304:ICE524404 IMA524304:IMA524404 IVW524304:IVW524404 JFS524304:JFS524404 JPO524304:JPO524404 JZK524304:JZK524404 KJG524304:KJG524404 KTC524304:KTC524404 LCY524304:LCY524404 LMU524304:LMU524404 LWQ524304:LWQ524404 MGM524304:MGM524404 MQI524304:MQI524404 NAE524304:NAE524404 NKA524304:NKA524404 NTW524304:NTW524404 ODS524304:ODS524404 ONO524304:ONO524404 OXK524304:OXK524404 PHG524304:PHG524404 PRC524304:PRC524404 QAY524304:QAY524404 QKU524304:QKU524404 QUQ524304:QUQ524404 REM524304:REM524404 ROI524304:ROI524404 RYE524304:RYE524404 SIA524304:SIA524404 SRW524304:SRW524404 TBS524304:TBS524404 TLO524304:TLO524404 TVK524304:TVK524404 UFG524304:UFG524404 UPC524304:UPC524404 UYY524304:UYY524404 VIU524304:VIU524404 VSQ524304:VSQ524404 WCM524304:WCM524404 WMI524304:WMI524404 WWE524304:WWE524404 W589840:W589940 JS589840:JS589940 TO589840:TO589940 ADK589840:ADK589940 ANG589840:ANG589940 AXC589840:AXC589940 BGY589840:BGY589940 BQU589840:BQU589940 CAQ589840:CAQ589940 CKM589840:CKM589940 CUI589840:CUI589940 DEE589840:DEE589940 DOA589840:DOA589940 DXW589840:DXW589940 EHS589840:EHS589940 ERO589840:ERO589940 FBK589840:FBK589940 FLG589840:FLG589940 FVC589840:FVC589940 GEY589840:GEY589940 GOU589840:GOU589940 GYQ589840:GYQ589940 HIM589840:HIM589940 HSI589840:HSI589940 ICE589840:ICE589940 IMA589840:IMA589940 IVW589840:IVW589940 JFS589840:JFS589940 JPO589840:JPO589940 JZK589840:JZK589940 KJG589840:KJG589940 KTC589840:KTC589940 LCY589840:LCY589940 LMU589840:LMU589940 LWQ589840:LWQ589940 MGM589840:MGM589940 MQI589840:MQI589940 NAE589840:NAE589940 NKA589840:NKA589940 NTW589840:NTW589940 ODS589840:ODS589940 ONO589840:ONO589940 OXK589840:OXK589940 PHG589840:PHG589940 PRC589840:PRC589940 QAY589840:QAY589940 QKU589840:QKU589940 QUQ589840:QUQ589940 REM589840:REM589940 ROI589840:ROI589940 RYE589840:RYE589940 SIA589840:SIA589940 SRW589840:SRW589940 TBS589840:TBS589940 TLO589840:TLO589940 TVK589840:TVK589940 UFG589840:UFG589940 UPC589840:UPC589940 UYY589840:UYY589940 VIU589840:VIU589940 VSQ589840:VSQ589940 WCM589840:WCM589940 WMI589840:WMI589940 WWE589840:WWE589940 W655376:W655476 JS655376:JS655476 TO655376:TO655476 ADK655376:ADK655476 ANG655376:ANG655476 AXC655376:AXC655476 BGY655376:BGY655476 BQU655376:BQU655476 CAQ655376:CAQ655476 CKM655376:CKM655476 CUI655376:CUI655476 DEE655376:DEE655476 DOA655376:DOA655476 DXW655376:DXW655476 EHS655376:EHS655476 ERO655376:ERO655476 FBK655376:FBK655476 FLG655376:FLG655476 FVC655376:FVC655476 GEY655376:GEY655476 GOU655376:GOU655476 GYQ655376:GYQ655476 HIM655376:HIM655476 HSI655376:HSI655476 ICE655376:ICE655476 IMA655376:IMA655476 IVW655376:IVW655476 JFS655376:JFS655476 JPO655376:JPO655476 JZK655376:JZK655476 KJG655376:KJG655476 KTC655376:KTC655476 LCY655376:LCY655476 LMU655376:LMU655476 LWQ655376:LWQ655476 MGM655376:MGM655476 MQI655376:MQI655476 NAE655376:NAE655476 NKA655376:NKA655476 NTW655376:NTW655476 ODS655376:ODS655476 ONO655376:ONO655476 OXK655376:OXK655476 PHG655376:PHG655476 PRC655376:PRC655476 QAY655376:QAY655476 QKU655376:QKU655476 QUQ655376:QUQ655476 REM655376:REM655476 ROI655376:ROI655476 RYE655376:RYE655476 SIA655376:SIA655476 SRW655376:SRW655476 TBS655376:TBS655476 TLO655376:TLO655476 TVK655376:TVK655476 UFG655376:UFG655476 UPC655376:UPC655476 UYY655376:UYY655476 VIU655376:VIU655476 VSQ655376:VSQ655476 WCM655376:WCM655476 WMI655376:WMI655476 WWE655376:WWE655476 W720912:W721012 JS720912:JS721012 TO720912:TO721012 ADK720912:ADK721012 ANG720912:ANG721012 AXC720912:AXC721012 BGY720912:BGY721012 BQU720912:BQU721012 CAQ720912:CAQ721012 CKM720912:CKM721012 CUI720912:CUI721012 DEE720912:DEE721012 DOA720912:DOA721012 DXW720912:DXW721012 EHS720912:EHS721012 ERO720912:ERO721012 FBK720912:FBK721012 FLG720912:FLG721012 FVC720912:FVC721012 GEY720912:GEY721012 GOU720912:GOU721012 GYQ720912:GYQ721012 HIM720912:HIM721012 HSI720912:HSI721012 ICE720912:ICE721012 IMA720912:IMA721012 IVW720912:IVW721012 JFS720912:JFS721012 JPO720912:JPO721012 JZK720912:JZK721012 KJG720912:KJG721012 KTC720912:KTC721012 LCY720912:LCY721012 LMU720912:LMU721012 LWQ720912:LWQ721012 MGM720912:MGM721012 MQI720912:MQI721012 NAE720912:NAE721012 NKA720912:NKA721012 NTW720912:NTW721012 ODS720912:ODS721012 ONO720912:ONO721012 OXK720912:OXK721012 PHG720912:PHG721012 PRC720912:PRC721012 QAY720912:QAY721012 QKU720912:QKU721012 QUQ720912:QUQ721012 REM720912:REM721012 ROI720912:ROI721012 RYE720912:RYE721012 SIA720912:SIA721012 SRW720912:SRW721012 TBS720912:TBS721012 TLO720912:TLO721012 TVK720912:TVK721012 UFG720912:UFG721012 UPC720912:UPC721012 UYY720912:UYY721012 VIU720912:VIU721012 VSQ720912:VSQ721012 WCM720912:WCM721012 WMI720912:WMI721012 WWE720912:WWE721012 W786448:W786548 JS786448:JS786548 TO786448:TO786548 ADK786448:ADK786548 ANG786448:ANG786548 AXC786448:AXC786548 BGY786448:BGY786548 BQU786448:BQU786548 CAQ786448:CAQ786548 CKM786448:CKM786548 CUI786448:CUI786548 DEE786448:DEE786548 DOA786448:DOA786548 DXW786448:DXW786548 EHS786448:EHS786548 ERO786448:ERO786548 FBK786448:FBK786548 FLG786448:FLG786548 FVC786448:FVC786548 GEY786448:GEY786548 GOU786448:GOU786548 GYQ786448:GYQ786548 HIM786448:HIM786548 HSI786448:HSI786548 ICE786448:ICE786548 IMA786448:IMA786548 IVW786448:IVW786548 JFS786448:JFS786548 JPO786448:JPO786548 JZK786448:JZK786548 KJG786448:KJG786548 KTC786448:KTC786548 LCY786448:LCY786548 LMU786448:LMU786548 LWQ786448:LWQ786548 MGM786448:MGM786548 MQI786448:MQI786548 NAE786448:NAE786548 NKA786448:NKA786548 NTW786448:NTW786548 ODS786448:ODS786548 ONO786448:ONO786548 OXK786448:OXK786548 PHG786448:PHG786548 PRC786448:PRC786548 QAY786448:QAY786548 QKU786448:QKU786548 QUQ786448:QUQ786548 REM786448:REM786548 ROI786448:ROI786548 RYE786448:RYE786548 SIA786448:SIA786548 SRW786448:SRW786548 TBS786448:TBS786548 TLO786448:TLO786548 TVK786448:TVK786548 UFG786448:UFG786548 UPC786448:UPC786548 UYY786448:UYY786548 VIU786448:VIU786548 VSQ786448:VSQ786548 WCM786448:WCM786548 WMI786448:WMI786548 WWE786448:WWE786548 W851984:W852084 JS851984:JS852084 TO851984:TO852084 ADK851984:ADK852084 ANG851984:ANG852084 AXC851984:AXC852084 BGY851984:BGY852084 BQU851984:BQU852084 CAQ851984:CAQ852084 CKM851984:CKM852084 CUI851984:CUI852084 DEE851984:DEE852084 DOA851984:DOA852084 DXW851984:DXW852084 EHS851984:EHS852084 ERO851984:ERO852084 FBK851984:FBK852084 FLG851984:FLG852084 FVC851984:FVC852084 GEY851984:GEY852084 GOU851984:GOU852084 GYQ851984:GYQ852084 HIM851984:HIM852084 HSI851984:HSI852084 ICE851984:ICE852084 IMA851984:IMA852084 IVW851984:IVW852084 JFS851984:JFS852084 JPO851984:JPO852084 JZK851984:JZK852084 KJG851984:KJG852084 KTC851984:KTC852084 LCY851984:LCY852084 LMU851984:LMU852084 LWQ851984:LWQ852084 MGM851984:MGM852084 MQI851984:MQI852084 NAE851984:NAE852084 NKA851984:NKA852084 NTW851984:NTW852084 ODS851984:ODS852084 ONO851984:ONO852084 OXK851984:OXK852084 PHG851984:PHG852084 PRC851984:PRC852084 QAY851984:QAY852084 QKU851984:QKU852084 QUQ851984:QUQ852084 REM851984:REM852084 ROI851984:ROI852084 RYE851984:RYE852084 SIA851984:SIA852084 SRW851984:SRW852084 TBS851984:TBS852084 TLO851984:TLO852084 TVK851984:TVK852084 UFG851984:UFG852084 UPC851984:UPC852084 UYY851984:UYY852084 VIU851984:VIU852084 VSQ851984:VSQ852084 WCM851984:WCM852084 WMI851984:WMI852084 WWE851984:WWE852084 W917520:W917620 JS917520:JS917620 TO917520:TO917620 ADK917520:ADK917620 ANG917520:ANG917620 AXC917520:AXC917620 BGY917520:BGY917620 BQU917520:BQU917620 CAQ917520:CAQ917620 CKM917520:CKM917620 CUI917520:CUI917620 DEE917520:DEE917620 DOA917520:DOA917620 DXW917520:DXW917620 EHS917520:EHS917620 ERO917520:ERO917620 FBK917520:FBK917620 FLG917520:FLG917620 FVC917520:FVC917620 GEY917520:GEY917620 GOU917520:GOU917620 GYQ917520:GYQ917620 HIM917520:HIM917620 HSI917520:HSI917620 ICE917520:ICE917620 IMA917520:IMA917620 IVW917520:IVW917620 JFS917520:JFS917620 JPO917520:JPO917620 JZK917520:JZK917620 KJG917520:KJG917620 KTC917520:KTC917620 LCY917520:LCY917620 LMU917520:LMU917620 LWQ917520:LWQ917620 MGM917520:MGM917620 MQI917520:MQI917620 NAE917520:NAE917620 NKA917520:NKA917620 NTW917520:NTW917620 ODS917520:ODS917620 ONO917520:ONO917620 OXK917520:OXK917620 PHG917520:PHG917620 PRC917520:PRC917620 QAY917520:QAY917620 QKU917520:QKU917620 QUQ917520:QUQ917620 REM917520:REM917620 ROI917520:ROI917620 RYE917520:RYE917620 SIA917520:SIA917620 SRW917520:SRW917620 TBS917520:TBS917620 TLO917520:TLO917620 TVK917520:TVK917620 UFG917520:UFG917620 UPC917520:UPC917620 UYY917520:UYY917620 VIU917520:VIU917620 VSQ917520:VSQ917620 WCM917520:WCM917620 WMI917520:WMI917620 WWE917520:WWE917620 W983056:W983156 JS983056:JS983156 TO983056:TO983156 ADK983056:ADK983156 ANG983056:ANG983156 AXC983056:AXC983156 BGY983056:BGY983156 BQU983056:BQU983156 CAQ983056:CAQ983156 CKM983056:CKM983156 CUI983056:CUI983156 DEE983056:DEE983156 DOA983056:DOA983156 DXW983056:DXW983156 EHS983056:EHS983156 ERO983056:ERO983156 FBK983056:FBK983156 FLG983056:FLG983156 FVC983056:FVC983156 GEY983056:GEY983156 GOU983056:GOU983156 GYQ983056:GYQ983156 HIM983056:HIM983156 HSI983056:HSI983156 ICE983056:ICE983156 IMA983056:IMA983156 IVW983056:IVW983156 JFS983056:JFS983156 JPO983056:JPO983156 JZK983056:JZK983156 KJG983056:KJG983156 KTC983056:KTC983156 LCY983056:LCY983156 LMU983056:LMU983156 LWQ983056:LWQ983156 MGM983056:MGM983156 MQI983056:MQI983156 NAE983056:NAE983156 NKA983056:NKA983156 NTW983056:NTW983156 ODS983056:ODS983156 ONO983056:ONO983156 OXK983056:OXK983156 PHG983056:PHG983156 PRC983056:PRC983156 QAY983056:QAY983156 QKU983056:QKU983156 QUQ983056:QUQ983156 REM983056:REM983156 ROI983056:ROI983156 RYE983056:RYE983156 SIA983056:SIA983156 SRW983056:SRW983156 TBS983056:TBS983156 TLO983056:TLO983156 TVK983056:TVK983156 UFG983056:UFG983156 UPC983056:UPC983156 UYY983056:UYY983156 VIU983056:VIU983156 VSQ983056:VSQ983156 WCM983056:WCM983156 WWE12:WWE65 WMI12:WMI65 WCM12:WCM65 VSQ12:VSQ65 VIU12:VIU65 UYY12:UYY65 UPC12:UPC65 UFG12:UFG65 TVK12:TVK65 TLO12:TLO65 TBS12:TBS65 SRW12:SRW65 SIA12:SIA65 RYE12:RYE65 ROI12:ROI65 REM12:REM65 QUQ12:QUQ65 QKU12:QKU65 QAY12:QAY65 PRC12:PRC65 PHG12:PHG65 OXK12:OXK65 ONO12:ONO65 ODS12:ODS65 NTW12:NTW65 NKA12:NKA65 NAE12:NAE65 MQI12:MQI65 MGM12:MGM65 LWQ12:LWQ65 LMU12:LMU65 LCY12:LCY65 KTC12:KTC65 KJG12:KJG65 JZK12:JZK65 JPO12:JPO65 JFS12:JFS65 IVW12:IVW65 IMA12:IMA65 ICE12:ICE65 HSI12:HSI65 HIM12:HIM65 GYQ12:GYQ65 GOU12:GOU65 GEY12:GEY65 FVC12:FVC65 FLG12:FLG65 FBK12:FBK65 ERO12:ERO65 EHS12:EHS65 DXW12:DXW65 DOA12:DOA65 DEE12:DEE65 CUI12:CUI65 CKM12:CKM65 CAQ12:CAQ65 BQU12:BQU65 BGY12:BGY65 AXC12:AXC65 ANG12:ANG65 ADK12:ADK65 TO12:TO65 JS12:JS65 JS67:JS116" xr:uid="{71A5A6C7-75F8-42F2-8CCD-0B1DC78E9FA1}">
      <formula1>$W$10</formula1>
    </dataValidation>
    <dataValidation type="whole" operator="lessThanOrEqual" allowBlank="1" showInputMessage="1" showErrorMessage="1" error="INPUT NUMBER LESS THAN OR EQUAL THE HIGHEST POSSIBLE SCORE" prompt="Input Raw Score" sqref="WWD983056:WWD983156 TN67:TN116 ADJ67:ADJ116 ANF67:ANF116 AXB67:AXB116 BGX67:BGX116 BQT67:BQT116 CAP67:CAP116 CKL67:CKL116 CUH67:CUH116 DED67:DED116 DNZ67:DNZ116 DXV67:DXV116 EHR67:EHR116 ERN67:ERN116 FBJ67:FBJ116 FLF67:FLF116 FVB67:FVB116 GEX67:GEX116 GOT67:GOT116 GYP67:GYP116 HIL67:HIL116 HSH67:HSH116 ICD67:ICD116 ILZ67:ILZ116 IVV67:IVV116 JFR67:JFR116 JPN67:JPN116 JZJ67:JZJ116 KJF67:KJF116 KTB67:KTB116 LCX67:LCX116 LMT67:LMT116 LWP67:LWP116 MGL67:MGL116 MQH67:MQH116 NAD67:NAD116 NJZ67:NJZ116 NTV67:NTV116 ODR67:ODR116 ONN67:ONN116 OXJ67:OXJ116 PHF67:PHF116 PRB67:PRB116 QAX67:QAX116 QKT67:QKT116 QUP67:QUP116 REL67:REL116 ROH67:ROH116 RYD67:RYD116 SHZ67:SHZ116 SRV67:SRV116 TBR67:TBR116 TLN67:TLN116 TVJ67:TVJ116 UFF67:UFF116 UPB67:UPB116 UYX67:UYX116 VIT67:VIT116 VSP67:VSP116 WCL67:WCL116 WMH67:WMH116 WWD67:WWD116 WMH983056:WMH983156 V65552:V65652 JR65552:JR65652 TN65552:TN65652 ADJ65552:ADJ65652 ANF65552:ANF65652 AXB65552:AXB65652 BGX65552:BGX65652 BQT65552:BQT65652 CAP65552:CAP65652 CKL65552:CKL65652 CUH65552:CUH65652 DED65552:DED65652 DNZ65552:DNZ65652 DXV65552:DXV65652 EHR65552:EHR65652 ERN65552:ERN65652 FBJ65552:FBJ65652 FLF65552:FLF65652 FVB65552:FVB65652 GEX65552:GEX65652 GOT65552:GOT65652 GYP65552:GYP65652 HIL65552:HIL65652 HSH65552:HSH65652 ICD65552:ICD65652 ILZ65552:ILZ65652 IVV65552:IVV65652 JFR65552:JFR65652 JPN65552:JPN65652 JZJ65552:JZJ65652 KJF65552:KJF65652 KTB65552:KTB65652 LCX65552:LCX65652 LMT65552:LMT65652 LWP65552:LWP65652 MGL65552:MGL65652 MQH65552:MQH65652 NAD65552:NAD65652 NJZ65552:NJZ65652 NTV65552:NTV65652 ODR65552:ODR65652 ONN65552:ONN65652 OXJ65552:OXJ65652 PHF65552:PHF65652 PRB65552:PRB65652 QAX65552:QAX65652 QKT65552:QKT65652 QUP65552:QUP65652 REL65552:REL65652 ROH65552:ROH65652 RYD65552:RYD65652 SHZ65552:SHZ65652 SRV65552:SRV65652 TBR65552:TBR65652 TLN65552:TLN65652 TVJ65552:TVJ65652 UFF65552:UFF65652 UPB65552:UPB65652 UYX65552:UYX65652 VIT65552:VIT65652 VSP65552:VSP65652 WCL65552:WCL65652 WMH65552:WMH65652 WWD65552:WWD65652 V131088:V131188 JR131088:JR131188 TN131088:TN131188 ADJ131088:ADJ131188 ANF131088:ANF131188 AXB131088:AXB131188 BGX131088:BGX131188 BQT131088:BQT131188 CAP131088:CAP131188 CKL131088:CKL131188 CUH131088:CUH131188 DED131088:DED131188 DNZ131088:DNZ131188 DXV131088:DXV131188 EHR131088:EHR131188 ERN131088:ERN131188 FBJ131088:FBJ131188 FLF131088:FLF131188 FVB131088:FVB131188 GEX131088:GEX131188 GOT131088:GOT131188 GYP131088:GYP131188 HIL131088:HIL131188 HSH131088:HSH131188 ICD131088:ICD131188 ILZ131088:ILZ131188 IVV131088:IVV131188 JFR131088:JFR131188 JPN131088:JPN131188 JZJ131088:JZJ131188 KJF131088:KJF131188 KTB131088:KTB131188 LCX131088:LCX131188 LMT131088:LMT131188 LWP131088:LWP131188 MGL131088:MGL131188 MQH131088:MQH131188 NAD131088:NAD131188 NJZ131088:NJZ131188 NTV131088:NTV131188 ODR131088:ODR131188 ONN131088:ONN131188 OXJ131088:OXJ131188 PHF131088:PHF131188 PRB131088:PRB131188 QAX131088:QAX131188 QKT131088:QKT131188 QUP131088:QUP131188 REL131088:REL131188 ROH131088:ROH131188 RYD131088:RYD131188 SHZ131088:SHZ131188 SRV131088:SRV131188 TBR131088:TBR131188 TLN131088:TLN131188 TVJ131088:TVJ131188 UFF131088:UFF131188 UPB131088:UPB131188 UYX131088:UYX131188 VIT131088:VIT131188 VSP131088:VSP131188 WCL131088:WCL131188 WMH131088:WMH131188 WWD131088:WWD131188 V196624:V196724 JR196624:JR196724 TN196624:TN196724 ADJ196624:ADJ196724 ANF196624:ANF196724 AXB196624:AXB196724 BGX196624:BGX196724 BQT196624:BQT196724 CAP196624:CAP196724 CKL196624:CKL196724 CUH196624:CUH196724 DED196624:DED196724 DNZ196624:DNZ196724 DXV196624:DXV196724 EHR196624:EHR196724 ERN196624:ERN196724 FBJ196624:FBJ196724 FLF196624:FLF196724 FVB196624:FVB196724 GEX196624:GEX196724 GOT196624:GOT196724 GYP196624:GYP196724 HIL196624:HIL196724 HSH196624:HSH196724 ICD196624:ICD196724 ILZ196624:ILZ196724 IVV196624:IVV196724 JFR196624:JFR196724 JPN196624:JPN196724 JZJ196624:JZJ196724 KJF196624:KJF196724 KTB196624:KTB196724 LCX196624:LCX196724 LMT196624:LMT196724 LWP196624:LWP196724 MGL196624:MGL196724 MQH196624:MQH196724 NAD196624:NAD196724 NJZ196624:NJZ196724 NTV196624:NTV196724 ODR196624:ODR196724 ONN196624:ONN196724 OXJ196624:OXJ196724 PHF196624:PHF196724 PRB196624:PRB196724 QAX196624:QAX196724 QKT196624:QKT196724 QUP196624:QUP196724 REL196624:REL196724 ROH196624:ROH196724 RYD196624:RYD196724 SHZ196624:SHZ196724 SRV196624:SRV196724 TBR196624:TBR196724 TLN196624:TLN196724 TVJ196624:TVJ196724 UFF196624:UFF196724 UPB196624:UPB196724 UYX196624:UYX196724 VIT196624:VIT196724 VSP196624:VSP196724 WCL196624:WCL196724 WMH196624:WMH196724 WWD196624:WWD196724 V262160:V262260 JR262160:JR262260 TN262160:TN262260 ADJ262160:ADJ262260 ANF262160:ANF262260 AXB262160:AXB262260 BGX262160:BGX262260 BQT262160:BQT262260 CAP262160:CAP262260 CKL262160:CKL262260 CUH262160:CUH262260 DED262160:DED262260 DNZ262160:DNZ262260 DXV262160:DXV262260 EHR262160:EHR262260 ERN262160:ERN262260 FBJ262160:FBJ262260 FLF262160:FLF262260 FVB262160:FVB262260 GEX262160:GEX262260 GOT262160:GOT262260 GYP262160:GYP262260 HIL262160:HIL262260 HSH262160:HSH262260 ICD262160:ICD262260 ILZ262160:ILZ262260 IVV262160:IVV262260 JFR262160:JFR262260 JPN262160:JPN262260 JZJ262160:JZJ262260 KJF262160:KJF262260 KTB262160:KTB262260 LCX262160:LCX262260 LMT262160:LMT262260 LWP262160:LWP262260 MGL262160:MGL262260 MQH262160:MQH262260 NAD262160:NAD262260 NJZ262160:NJZ262260 NTV262160:NTV262260 ODR262160:ODR262260 ONN262160:ONN262260 OXJ262160:OXJ262260 PHF262160:PHF262260 PRB262160:PRB262260 QAX262160:QAX262260 QKT262160:QKT262260 QUP262160:QUP262260 REL262160:REL262260 ROH262160:ROH262260 RYD262160:RYD262260 SHZ262160:SHZ262260 SRV262160:SRV262260 TBR262160:TBR262260 TLN262160:TLN262260 TVJ262160:TVJ262260 UFF262160:UFF262260 UPB262160:UPB262260 UYX262160:UYX262260 VIT262160:VIT262260 VSP262160:VSP262260 WCL262160:WCL262260 WMH262160:WMH262260 WWD262160:WWD262260 V327696:V327796 JR327696:JR327796 TN327696:TN327796 ADJ327696:ADJ327796 ANF327696:ANF327796 AXB327696:AXB327796 BGX327696:BGX327796 BQT327696:BQT327796 CAP327696:CAP327796 CKL327696:CKL327796 CUH327696:CUH327796 DED327696:DED327796 DNZ327696:DNZ327796 DXV327696:DXV327796 EHR327696:EHR327796 ERN327696:ERN327796 FBJ327696:FBJ327796 FLF327696:FLF327796 FVB327696:FVB327796 GEX327696:GEX327796 GOT327696:GOT327796 GYP327696:GYP327796 HIL327696:HIL327796 HSH327696:HSH327796 ICD327696:ICD327796 ILZ327696:ILZ327796 IVV327696:IVV327796 JFR327696:JFR327796 JPN327696:JPN327796 JZJ327696:JZJ327796 KJF327696:KJF327796 KTB327696:KTB327796 LCX327696:LCX327796 LMT327696:LMT327796 LWP327696:LWP327796 MGL327696:MGL327796 MQH327696:MQH327796 NAD327696:NAD327796 NJZ327696:NJZ327796 NTV327696:NTV327796 ODR327696:ODR327796 ONN327696:ONN327796 OXJ327696:OXJ327796 PHF327696:PHF327796 PRB327696:PRB327796 QAX327696:QAX327796 QKT327696:QKT327796 QUP327696:QUP327796 REL327696:REL327796 ROH327696:ROH327796 RYD327696:RYD327796 SHZ327696:SHZ327796 SRV327696:SRV327796 TBR327696:TBR327796 TLN327696:TLN327796 TVJ327696:TVJ327796 UFF327696:UFF327796 UPB327696:UPB327796 UYX327696:UYX327796 VIT327696:VIT327796 VSP327696:VSP327796 WCL327696:WCL327796 WMH327696:WMH327796 WWD327696:WWD327796 V393232:V393332 JR393232:JR393332 TN393232:TN393332 ADJ393232:ADJ393332 ANF393232:ANF393332 AXB393232:AXB393332 BGX393232:BGX393332 BQT393232:BQT393332 CAP393232:CAP393332 CKL393232:CKL393332 CUH393232:CUH393332 DED393232:DED393332 DNZ393232:DNZ393332 DXV393232:DXV393332 EHR393232:EHR393332 ERN393232:ERN393332 FBJ393232:FBJ393332 FLF393232:FLF393332 FVB393232:FVB393332 GEX393232:GEX393332 GOT393232:GOT393332 GYP393232:GYP393332 HIL393232:HIL393332 HSH393232:HSH393332 ICD393232:ICD393332 ILZ393232:ILZ393332 IVV393232:IVV393332 JFR393232:JFR393332 JPN393232:JPN393332 JZJ393232:JZJ393332 KJF393232:KJF393332 KTB393232:KTB393332 LCX393232:LCX393332 LMT393232:LMT393332 LWP393232:LWP393332 MGL393232:MGL393332 MQH393232:MQH393332 NAD393232:NAD393332 NJZ393232:NJZ393332 NTV393232:NTV393332 ODR393232:ODR393332 ONN393232:ONN393332 OXJ393232:OXJ393332 PHF393232:PHF393332 PRB393232:PRB393332 QAX393232:QAX393332 QKT393232:QKT393332 QUP393232:QUP393332 REL393232:REL393332 ROH393232:ROH393332 RYD393232:RYD393332 SHZ393232:SHZ393332 SRV393232:SRV393332 TBR393232:TBR393332 TLN393232:TLN393332 TVJ393232:TVJ393332 UFF393232:UFF393332 UPB393232:UPB393332 UYX393232:UYX393332 VIT393232:VIT393332 VSP393232:VSP393332 WCL393232:WCL393332 WMH393232:WMH393332 WWD393232:WWD393332 V458768:V458868 JR458768:JR458868 TN458768:TN458868 ADJ458768:ADJ458868 ANF458768:ANF458868 AXB458768:AXB458868 BGX458768:BGX458868 BQT458768:BQT458868 CAP458768:CAP458868 CKL458768:CKL458868 CUH458768:CUH458868 DED458768:DED458868 DNZ458768:DNZ458868 DXV458768:DXV458868 EHR458768:EHR458868 ERN458768:ERN458868 FBJ458768:FBJ458868 FLF458768:FLF458868 FVB458768:FVB458868 GEX458768:GEX458868 GOT458768:GOT458868 GYP458768:GYP458868 HIL458768:HIL458868 HSH458768:HSH458868 ICD458768:ICD458868 ILZ458768:ILZ458868 IVV458768:IVV458868 JFR458768:JFR458868 JPN458768:JPN458868 JZJ458768:JZJ458868 KJF458768:KJF458868 KTB458768:KTB458868 LCX458768:LCX458868 LMT458768:LMT458868 LWP458768:LWP458868 MGL458768:MGL458868 MQH458768:MQH458868 NAD458768:NAD458868 NJZ458768:NJZ458868 NTV458768:NTV458868 ODR458768:ODR458868 ONN458768:ONN458868 OXJ458768:OXJ458868 PHF458768:PHF458868 PRB458768:PRB458868 QAX458768:QAX458868 QKT458768:QKT458868 QUP458768:QUP458868 REL458768:REL458868 ROH458768:ROH458868 RYD458768:RYD458868 SHZ458768:SHZ458868 SRV458768:SRV458868 TBR458768:TBR458868 TLN458768:TLN458868 TVJ458768:TVJ458868 UFF458768:UFF458868 UPB458768:UPB458868 UYX458768:UYX458868 VIT458768:VIT458868 VSP458768:VSP458868 WCL458768:WCL458868 WMH458768:WMH458868 WWD458768:WWD458868 V524304:V524404 JR524304:JR524404 TN524304:TN524404 ADJ524304:ADJ524404 ANF524304:ANF524404 AXB524304:AXB524404 BGX524304:BGX524404 BQT524304:BQT524404 CAP524304:CAP524404 CKL524304:CKL524404 CUH524304:CUH524404 DED524304:DED524404 DNZ524304:DNZ524404 DXV524304:DXV524404 EHR524304:EHR524404 ERN524304:ERN524404 FBJ524304:FBJ524404 FLF524304:FLF524404 FVB524304:FVB524404 GEX524304:GEX524404 GOT524304:GOT524404 GYP524304:GYP524404 HIL524304:HIL524404 HSH524304:HSH524404 ICD524304:ICD524404 ILZ524304:ILZ524404 IVV524304:IVV524404 JFR524304:JFR524404 JPN524304:JPN524404 JZJ524304:JZJ524404 KJF524304:KJF524404 KTB524304:KTB524404 LCX524304:LCX524404 LMT524304:LMT524404 LWP524304:LWP524404 MGL524304:MGL524404 MQH524304:MQH524404 NAD524304:NAD524404 NJZ524304:NJZ524404 NTV524304:NTV524404 ODR524304:ODR524404 ONN524304:ONN524404 OXJ524304:OXJ524404 PHF524304:PHF524404 PRB524304:PRB524404 QAX524304:QAX524404 QKT524304:QKT524404 QUP524304:QUP524404 REL524304:REL524404 ROH524304:ROH524404 RYD524304:RYD524404 SHZ524304:SHZ524404 SRV524304:SRV524404 TBR524304:TBR524404 TLN524304:TLN524404 TVJ524304:TVJ524404 UFF524304:UFF524404 UPB524304:UPB524404 UYX524304:UYX524404 VIT524304:VIT524404 VSP524304:VSP524404 WCL524304:WCL524404 WMH524304:WMH524404 WWD524304:WWD524404 V589840:V589940 JR589840:JR589940 TN589840:TN589940 ADJ589840:ADJ589940 ANF589840:ANF589940 AXB589840:AXB589940 BGX589840:BGX589940 BQT589840:BQT589940 CAP589840:CAP589940 CKL589840:CKL589940 CUH589840:CUH589940 DED589840:DED589940 DNZ589840:DNZ589940 DXV589840:DXV589940 EHR589840:EHR589940 ERN589840:ERN589940 FBJ589840:FBJ589940 FLF589840:FLF589940 FVB589840:FVB589940 GEX589840:GEX589940 GOT589840:GOT589940 GYP589840:GYP589940 HIL589840:HIL589940 HSH589840:HSH589940 ICD589840:ICD589940 ILZ589840:ILZ589940 IVV589840:IVV589940 JFR589840:JFR589940 JPN589840:JPN589940 JZJ589840:JZJ589940 KJF589840:KJF589940 KTB589840:KTB589940 LCX589840:LCX589940 LMT589840:LMT589940 LWP589840:LWP589940 MGL589840:MGL589940 MQH589840:MQH589940 NAD589840:NAD589940 NJZ589840:NJZ589940 NTV589840:NTV589940 ODR589840:ODR589940 ONN589840:ONN589940 OXJ589840:OXJ589940 PHF589840:PHF589940 PRB589840:PRB589940 QAX589840:QAX589940 QKT589840:QKT589940 QUP589840:QUP589940 REL589840:REL589940 ROH589840:ROH589940 RYD589840:RYD589940 SHZ589840:SHZ589940 SRV589840:SRV589940 TBR589840:TBR589940 TLN589840:TLN589940 TVJ589840:TVJ589940 UFF589840:UFF589940 UPB589840:UPB589940 UYX589840:UYX589940 VIT589840:VIT589940 VSP589840:VSP589940 WCL589840:WCL589940 WMH589840:WMH589940 WWD589840:WWD589940 V655376:V655476 JR655376:JR655476 TN655376:TN655476 ADJ655376:ADJ655476 ANF655376:ANF655476 AXB655376:AXB655476 BGX655376:BGX655476 BQT655376:BQT655476 CAP655376:CAP655476 CKL655376:CKL655476 CUH655376:CUH655476 DED655376:DED655476 DNZ655376:DNZ655476 DXV655376:DXV655476 EHR655376:EHR655476 ERN655376:ERN655476 FBJ655376:FBJ655476 FLF655376:FLF655476 FVB655376:FVB655476 GEX655376:GEX655476 GOT655376:GOT655476 GYP655376:GYP655476 HIL655376:HIL655476 HSH655376:HSH655476 ICD655376:ICD655476 ILZ655376:ILZ655476 IVV655376:IVV655476 JFR655376:JFR655476 JPN655376:JPN655476 JZJ655376:JZJ655476 KJF655376:KJF655476 KTB655376:KTB655476 LCX655376:LCX655476 LMT655376:LMT655476 LWP655376:LWP655476 MGL655376:MGL655476 MQH655376:MQH655476 NAD655376:NAD655476 NJZ655376:NJZ655476 NTV655376:NTV655476 ODR655376:ODR655476 ONN655376:ONN655476 OXJ655376:OXJ655476 PHF655376:PHF655476 PRB655376:PRB655476 QAX655376:QAX655476 QKT655376:QKT655476 QUP655376:QUP655476 REL655376:REL655476 ROH655376:ROH655476 RYD655376:RYD655476 SHZ655376:SHZ655476 SRV655376:SRV655476 TBR655376:TBR655476 TLN655376:TLN655476 TVJ655376:TVJ655476 UFF655376:UFF655476 UPB655376:UPB655476 UYX655376:UYX655476 VIT655376:VIT655476 VSP655376:VSP655476 WCL655376:WCL655476 WMH655376:WMH655476 WWD655376:WWD655476 V720912:V721012 JR720912:JR721012 TN720912:TN721012 ADJ720912:ADJ721012 ANF720912:ANF721012 AXB720912:AXB721012 BGX720912:BGX721012 BQT720912:BQT721012 CAP720912:CAP721012 CKL720912:CKL721012 CUH720912:CUH721012 DED720912:DED721012 DNZ720912:DNZ721012 DXV720912:DXV721012 EHR720912:EHR721012 ERN720912:ERN721012 FBJ720912:FBJ721012 FLF720912:FLF721012 FVB720912:FVB721012 GEX720912:GEX721012 GOT720912:GOT721012 GYP720912:GYP721012 HIL720912:HIL721012 HSH720912:HSH721012 ICD720912:ICD721012 ILZ720912:ILZ721012 IVV720912:IVV721012 JFR720912:JFR721012 JPN720912:JPN721012 JZJ720912:JZJ721012 KJF720912:KJF721012 KTB720912:KTB721012 LCX720912:LCX721012 LMT720912:LMT721012 LWP720912:LWP721012 MGL720912:MGL721012 MQH720912:MQH721012 NAD720912:NAD721012 NJZ720912:NJZ721012 NTV720912:NTV721012 ODR720912:ODR721012 ONN720912:ONN721012 OXJ720912:OXJ721012 PHF720912:PHF721012 PRB720912:PRB721012 QAX720912:QAX721012 QKT720912:QKT721012 QUP720912:QUP721012 REL720912:REL721012 ROH720912:ROH721012 RYD720912:RYD721012 SHZ720912:SHZ721012 SRV720912:SRV721012 TBR720912:TBR721012 TLN720912:TLN721012 TVJ720912:TVJ721012 UFF720912:UFF721012 UPB720912:UPB721012 UYX720912:UYX721012 VIT720912:VIT721012 VSP720912:VSP721012 WCL720912:WCL721012 WMH720912:WMH721012 WWD720912:WWD721012 V786448:V786548 JR786448:JR786548 TN786448:TN786548 ADJ786448:ADJ786548 ANF786448:ANF786548 AXB786448:AXB786548 BGX786448:BGX786548 BQT786448:BQT786548 CAP786448:CAP786548 CKL786448:CKL786548 CUH786448:CUH786548 DED786448:DED786548 DNZ786448:DNZ786548 DXV786448:DXV786548 EHR786448:EHR786548 ERN786448:ERN786548 FBJ786448:FBJ786548 FLF786448:FLF786548 FVB786448:FVB786548 GEX786448:GEX786548 GOT786448:GOT786548 GYP786448:GYP786548 HIL786448:HIL786548 HSH786448:HSH786548 ICD786448:ICD786548 ILZ786448:ILZ786548 IVV786448:IVV786548 JFR786448:JFR786548 JPN786448:JPN786548 JZJ786448:JZJ786548 KJF786448:KJF786548 KTB786448:KTB786548 LCX786448:LCX786548 LMT786448:LMT786548 LWP786448:LWP786548 MGL786448:MGL786548 MQH786448:MQH786548 NAD786448:NAD786548 NJZ786448:NJZ786548 NTV786448:NTV786548 ODR786448:ODR786548 ONN786448:ONN786548 OXJ786448:OXJ786548 PHF786448:PHF786548 PRB786448:PRB786548 QAX786448:QAX786548 QKT786448:QKT786548 QUP786448:QUP786548 REL786448:REL786548 ROH786448:ROH786548 RYD786448:RYD786548 SHZ786448:SHZ786548 SRV786448:SRV786548 TBR786448:TBR786548 TLN786448:TLN786548 TVJ786448:TVJ786548 UFF786448:UFF786548 UPB786448:UPB786548 UYX786448:UYX786548 VIT786448:VIT786548 VSP786448:VSP786548 WCL786448:WCL786548 WMH786448:WMH786548 WWD786448:WWD786548 V851984:V852084 JR851984:JR852084 TN851984:TN852084 ADJ851984:ADJ852084 ANF851984:ANF852084 AXB851984:AXB852084 BGX851984:BGX852084 BQT851984:BQT852084 CAP851984:CAP852084 CKL851984:CKL852084 CUH851984:CUH852084 DED851984:DED852084 DNZ851984:DNZ852084 DXV851984:DXV852084 EHR851984:EHR852084 ERN851984:ERN852084 FBJ851984:FBJ852084 FLF851984:FLF852084 FVB851984:FVB852084 GEX851984:GEX852084 GOT851984:GOT852084 GYP851984:GYP852084 HIL851984:HIL852084 HSH851984:HSH852084 ICD851984:ICD852084 ILZ851984:ILZ852084 IVV851984:IVV852084 JFR851984:JFR852084 JPN851984:JPN852084 JZJ851984:JZJ852084 KJF851984:KJF852084 KTB851984:KTB852084 LCX851984:LCX852084 LMT851984:LMT852084 LWP851984:LWP852084 MGL851984:MGL852084 MQH851984:MQH852084 NAD851984:NAD852084 NJZ851984:NJZ852084 NTV851984:NTV852084 ODR851984:ODR852084 ONN851984:ONN852084 OXJ851984:OXJ852084 PHF851984:PHF852084 PRB851984:PRB852084 QAX851984:QAX852084 QKT851984:QKT852084 QUP851984:QUP852084 REL851984:REL852084 ROH851984:ROH852084 RYD851984:RYD852084 SHZ851984:SHZ852084 SRV851984:SRV852084 TBR851984:TBR852084 TLN851984:TLN852084 TVJ851984:TVJ852084 UFF851984:UFF852084 UPB851984:UPB852084 UYX851984:UYX852084 VIT851984:VIT852084 VSP851984:VSP852084 WCL851984:WCL852084 WMH851984:WMH852084 WWD851984:WWD852084 V917520:V917620 JR917520:JR917620 TN917520:TN917620 ADJ917520:ADJ917620 ANF917520:ANF917620 AXB917520:AXB917620 BGX917520:BGX917620 BQT917520:BQT917620 CAP917520:CAP917620 CKL917520:CKL917620 CUH917520:CUH917620 DED917520:DED917620 DNZ917520:DNZ917620 DXV917520:DXV917620 EHR917520:EHR917620 ERN917520:ERN917620 FBJ917520:FBJ917620 FLF917520:FLF917620 FVB917520:FVB917620 GEX917520:GEX917620 GOT917520:GOT917620 GYP917520:GYP917620 HIL917520:HIL917620 HSH917520:HSH917620 ICD917520:ICD917620 ILZ917520:ILZ917620 IVV917520:IVV917620 JFR917520:JFR917620 JPN917520:JPN917620 JZJ917520:JZJ917620 KJF917520:KJF917620 KTB917520:KTB917620 LCX917520:LCX917620 LMT917520:LMT917620 LWP917520:LWP917620 MGL917520:MGL917620 MQH917520:MQH917620 NAD917520:NAD917620 NJZ917520:NJZ917620 NTV917520:NTV917620 ODR917520:ODR917620 ONN917520:ONN917620 OXJ917520:OXJ917620 PHF917520:PHF917620 PRB917520:PRB917620 QAX917520:QAX917620 QKT917520:QKT917620 QUP917520:QUP917620 REL917520:REL917620 ROH917520:ROH917620 RYD917520:RYD917620 SHZ917520:SHZ917620 SRV917520:SRV917620 TBR917520:TBR917620 TLN917520:TLN917620 TVJ917520:TVJ917620 UFF917520:UFF917620 UPB917520:UPB917620 UYX917520:UYX917620 VIT917520:VIT917620 VSP917520:VSP917620 WCL917520:WCL917620 WMH917520:WMH917620 WWD917520:WWD917620 V983056:V983156 JR983056:JR983156 TN983056:TN983156 ADJ983056:ADJ983156 ANF983056:ANF983156 AXB983056:AXB983156 BGX983056:BGX983156 BQT983056:BQT983156 CAP983056:CAP983156 CKL983056:CKL983156 CUH983056:CUH983156 DED983056:DED983156 DNZ983056:DNZ983156 DXV983056:DXV983156 EHR983056:EHR983156 ERN983056:ERN983156 FBJ983056:FBJ983156 FLF983056:FLF983156 FVB983056:FVB983156 GEX983056:GEX983156 GOT983056:GOT983156 GYP983056:GYP983156 HIL983056:HIL983156 HSH983056:HSH983156 ICD983056:ICD983156 ILZ983056:ILZ983156 IVV983056:IVV983156 JFR983056:JFR983156 JPN983056:JPN983156 JZJ983056:JZJ983156 KJF983056:KJF983156 KTB983056:KTB983156 LCX983056:LCX983156 LMT983056:LMT983156 LWP983056:LWP983156 MGL983056:MGL983156 MQH983056:MQH983156 NAD983056:NAD983156 NJZ983056:NJZ983156 NTV983056:NTV983156 ODR983056:ODR983156 ONN983056:ONN983156 OXJ983056:OXJ983156 PHF983056:PHF983156 PRB983056:PRB983156 QAX983056:QAX983156 QKT983056:QKT983156 QUP983056:QUP983156 REL983056:REL983156 ROH983056:ROH983156 RYD983056:RYD983156 SHZ983056:SHZ983156 SRV983056:SRV983156 TBR983056:TBR983156 TLN983056:TLN983156 TVJ983056:TVJ983156 UFF983056:UFF983156 UPB983056:UPB983156 UYX983056:UYX983156 VIT983056:VIT983156 VSP983056:VSP983156 WCL983056:WCL983156 WWD12:WWD65 WMH12:WMH65 WCL12:WCL65 VSP12:VSP65 VIT12:VIT65 UYX12:UYX65 UPB12:UPB65 UFF12:UFF65 TVJ12:TVJ65 TLN12:TLN65 TBR12:TBR65 SRV12:SRV65 SHZ12:SHZ65 RYD12:RYD65 ROH12:ROH65 REL12:REL65 QUP12:QUP65 QKT12:QKT65 QAX12:QAX65 PRB12:PRB65 PHF12:PHF65 OXJ12:OXJ65 ONN12:ONN65 ODR12:ODR65 NTV12:NTV65 NJZ12:NJZ65 NAD12:NAD65 MQH12:MQH65 MGL12:MGL65 LWP12:LWP65 LMT12:LMT65 LCX12:LCX65 KTB12:KTB65 KJF12:KJF65 JZJ12:JZJ65 JPN12:JPN65 JFR12:JFR65 IVV12:IVV65 ILZ12:ILZ65 ICD12:ICD65 HSH12:HSH65 HIL12:HIL65 GYP12:GYP65 GOT12:GOT65 GEX12:GEX65 FVB12:FVB65 FLF12:FLF65 FBJ12:FBJ65 ERN12:ERN65 EHR12:EHR65 DXV12:DXV65 DNZ12:DNZ65 DED12:DED65 CUH12:CUH65 CKL12:CKL65 CAP12:CAP65 BQT12:BQT65 BGX12:BGX65 AXB12:AXB65 ANF12:ANF65 ADJ12:ADJ65 TN12:TN65 JR12:JR65 JR67:JR116" xr:uid="{983F551D-CF86-4825-9D70-36E41F7361B0}">
      <formula1>$V$10</formula1>
    </dataValidation>
    <dataValidation type="whole" operator="lessThanOrEqual" allowBlank="1" showInputMessage="1" showErrorMessage="1" error="INPUT NUMBER LESS THAN OR EQUAL THE HIGHEST POSSIBLE SCORE" prompt="Input Raw Score" sqref="WWC983056:WWC983156 TM67:TM116 ADI67:ADI116 ANE67:ANE116 AXA67:AXA116 BGW67:BGW116 BQS67:BQS116 CAO67:CAO116 CKK67:CKK116 CUG67:CUG116 DEC67:DEC116 DNY67:DNY116 DXU67:DXU116 EHQ67:EHQ116 ERM67:ERM116 FBI67:FBI116 FLE67:FLE116 FVA67:FVA116 GEW67:GEW116 GOS67:GOS116 GYO67:GYO116 HIK67:HIK116 HSG67:HSG116 ICC67:ICC116 ILY67:ILY116 IVU67:IVU116 JFQ67:JFQ116 JPM67:JPM116 JZI67:JZI116 KJE67:KJE116 KTA67:KTA116 LCW67:LCW116 LMS67:LMS116 LWO67:LWO116 MGK67:MGK116 MQG67:MQG116 NAC67:NAC116 NJY67:NJY116 NTU67:NTU116 ODQ67:ODQ116 ONM67:ONM116 OXI67:OXI116 PHE67:PHE116 PRA67:PRA116 QAW67:QAW116 QKS67:QKS116 QUO67:QUO116 REK67:REK116 ROG67:ROG116 RYC67:RYC116 SHY67:SHY116 SRU67:SRU116 TBQ67:TBQ116 TLM67:TLM116 TVI67:TVI116 UFE67:UFE116 UPA67:UPA116 UYW67:UYW116 VIS67:VIS116 VSO67:VSO116 WCK67:WCK116 WMG67:WMG116 WWC67:WWC116 WMG983056:WMG983156 U65552:U65652 JQ65552:JQ65652 TM65552:TM65652 ADI65552:ADI65652 ANE65552:ANE65652 AXA65552:AXA65652 BGW65552:BGW65652 BQS65552:BQS65652 CAO65552:CAO65652 CKK65552:CKK65652 CUG65552:CUG65652 DEC65552:DEC65652 DNY65552:DNY65652 DXU65552:DXU65652 EHQ65552:EHQ65652 ERM65552:ERM65652 FBI65552:FBI65652 FLE65552:FLE65652 FVA65552:FVA65652 GEW65552:GEW65652 GOS65552:GOS65652 GYO65552:GYO65652 HIK65552:HIK65652 HSG65552:HSG65652 ICC65552:ICC65652 ILY65552:ILY65652 IVU65552:IVU65652 JFQ65552:JFQ65652 JPM65552:JPM65652 JZI65552:JZI65652 KJE65552:KJE65652 KTA65552:KTA65652 LCW65552:LCW65652 LMS65552:LMS65652 LWO65552:LWO65652 MGK65552:MGK65652 MQG65552:MQG65652 NAC65552:NAC65652 NJY65552:NJY65652 NTU65552:NTU65652 ODQ65552:ODQ65652 ONM65552:ONM65652 OXI65552:OXI65652 PHE65552:PHE65652 PRA65552:PRA65652 QAW65552:QAW65652 QKS65552:QKS65652 QUO65552:QUO65652 REK65552:REK65652 ROG65552:ROG65652 RYC65552:RYC65652 SHY65552:SHY65652 SRU65552:SRU65652 TBQ65552:TBQ65652 TLM65552:TLM65652 TVI65552:TVI65652 UFE65552:UFE65652 UPA65552:UPA65652 UYW65552:UYW65652 VIS65552:VIS65652 VSO65552:VSO65652 WCK65552:WCK65652 WMG65552:WMG65652 WWC65552:WWC65652 U131088:U131188 JQ131088:JQ131188 TM131088:TM131188 ADI131088:ADI131188 ANE131088:ANE131188 AXA131088:AXA131188 BGW131088:BGW131188 BQS131088:BQS131188 CAO131088:CAO131188 CKK131088:CKK131188 CUG131088:CUG131188 DEC131088:DEC131188 DNY131088:DNY131188 DXU131088:DXU131188 EHQ131088:EHQ131188 ERM131088:ERM131188 FBI131088:FBI131188 FLE131088:FLE131188 FVA131088:FVA131188 GEW131088:GEW131188 GOS131088:GOS131188 GYO131088:GYO131188 HIK131088:HIK131188 HSG131088:HSG131188 ICC131088:ICC131188 ILY131088:ILY131188 IVU131088:IVU131188 JFQ131088:JFQ131188 JPM131088:JPM131188 JZI131088:JZI131188 KJE131088:KJE131188 KTA131088:KTA131188 LCW131088:LCW131188 LMS131088:LMS131188 LWO131088:LWO131188 MGK131088:MGK131188 MQG131088:MQG131188 NAC131088:NAC131188 NJY131088:NJY131188 NTU131088:NTU131188 ODQ131088:ODQ131188 ONM131088:ONM131188 OXI131088:OXI131188 PHE131088:PHE131188 PRA131088:PRA131188 QAW131088:QAW131188 QKS131088:QKS131188 QUO131088:QUO131188 REK131088:REK131188 ROG131088:ROG131188 RYC131088:RYC131188 SHY131088:SHY131188 SRU131088:SRU131188 TBQ131088:TBQ131188 TLM131088:TLM131188 TVI131088:TVI131188 UFE131088:UFE131188 UPA131088:UPA131188 UYW131088:UYW131188 VIS131088:VIS131188 VSO131088:VSO131188 WCK131088:WCK131188 WMG131088:WMG131188 WWC131088:WWC131188 U196624:U196724 JQ196624:JQ196724 TM196624:TM196724 ADI196624:ADI196724 ANE196624:ANE196724 AXA196624:AXA196724 BGW196624:BGW196724 BQS196624:BQS196724 CAO196624:CAO196724 CKK196624:CKK196724 CUG196624:CUG196724 DEC196624:DEC196724 DNY196624:DNY196724 DXU196624:DXU196724 EHQ196624:EHQ196724 ERM196624:ERM196724 FBI196624:FBI196724 FLE196624:FLE196724 FVA196624:FVA196724 GEW196624:GEW196724 GOS196624:GOS196724 GYO196624:GYO196724 HIK196624:HIK196724 HSG196624:HSG196724 ICC196624:ICC196724 ILY196624:ILY196724 IVU196624:IVU196724 JFQ196624:JFQ196724 JPM196624:JPM196724 JZI196624:JZI196724 KJE196624:KJE196724 KTA196624:KTA196724 LCW196624:LCW196724 LMS196624:LMS196724 LWO196624:LWO196724 MGK196624:MGK196724 MQG196624:MQG196724 NAC196624:NAC196724 NJY196624:NJY196724 NTU196624:NTU196724 ODQ196624:ODQ196724 ONM196624:ONM196724 OXI196624:OXI196724 PHE196624:PHE196724 PRA196624:PRA196724 QAW196624:QAW196724 QKS196624:QKS196724 QUO196624:QUO196724 REK196624:REK196724 ROG196624:ROG196724 RYC196624:RYC196724 SHY196624:SHY196724 SRU196624:SRU196724 TBQ196624:TBQ196724 TLM196624:TLM196724 TVI196624:TVI196724 UFE196624:UFE196724 UPA196624:UPA196724 UYW196624:UYW196724 VIS196624:VIS196724 VSO196624:VSO196724 WCK196624:WCK196724 WMG196624:WMG196724 WWC196624:WWC196724 U262160:U262260 JQ262160:JQ262260 TM262160:TM262260 ADI262160:ADI262260 ANE262160:ANE262260 AXA262160:AXA262260 BGW262160:BGW262260 BQS262160:BQS262260 CAO262160:CAO262260 CKK262160:CKK262260 CUG262160:CUG262260 DEC262160:DEC262260 DNY262160:DNY262260 DXU262160:DXU262260 EHQ262160:EHQ262260 ERM262160:ERM262260 FBI262160:FBI262260 FLE262160:FLE262260 FVA262160:FVA262260 GEW262160:GEW262260 GOS262160:GOS262260 GYO262160:GYO262260 HIK262160:HIK262260 HSG262160:HSG262260 ICC262160:ICC262260 ILY262160:ILY262260 IVU262160:IVU262260 JFQ262160:JFQ262260 JPM262160:JPM262260 JZI262160:JZI262260 KJE262160:KJE262260 KTA262160:KTA262260 LCW262160:LCW262260 LMS262160:LMS262260 LWO262160:LWO262260 MGK262160:MGK262260 MQG262160:MQG262260 NAC262160:NAC262260 NJY262160:NJY262260 NTU262160:NTU262260 ODQ262160:ODQ262260 ONM262160:ONM262260 OXI262160:OXI262260 PHE262160:PHE262260 PRA262160:PRA262260 QAW262160:QAW262260 QKS262160:QKS262260 QUO262160:QUO262260 REK262160:REK262260 ROG262160:ROG262260 RYC262160:RYC262260 SHY262160:SHY262260 SRU262160:SRU262260 TBQ262160:TBQ262260 TLM262160:TLM262260 TVI262160:TVI262260 UFE262160:UFE262260 UPA262160:UPA262260 UYW262160:UYW262260 VIS262160:VIS262260 VSO262160:VSO262260 WCK262160:WCK262260 WMG262160:WMG262260 WWC262160:WWC262260 U327696:U327796 JQ327696:JQ327796 TM327696:TM327796 ADI327696:ADI327796 ANE327696:ANE327796 AXA327696:AXA327796 BGW327696:BGW327796 BQS327696:BQS327796 CAO327696:CAO327796 CKK327696:CKK327796 CUG327696:CUG327796 DEC327696:DEC327796 DNY327696:DNY327796 DXU327696:DXU327796 EHQ327696:EHQ327796 ERM327696:ERM327796 FBI327696:FBI327796 FLE327696:FLE327796 FVA327696:FVA327796 GEW327696:GEW327796 GOS327696:GOS327796 GYO327696:GYO327796 HIK327696:HIK327796 HSG327696:HSG327796 ICC327696:ICC327796 ILY327696:ILY327796 IVU327696:IVU327796 JFQ327696:JFQ327796 JPM327696:JPM327796 JZI327696:JZI327796 KJE327696:KJE327796 KTA327696:KTA327796 LCW327696:LCW327796 LMS327696:LMS327796 LWO327696:LWO327796 MGK327696:MGK327796 MQG327696:MQG327796 NAC327696:NAC327796 NJY327696:NJY327796 NTU327696:NTU327796 ODQ327696:ODQ327796 ONM327696:ONM327796 OXI327696:OXI327796 PHE327696:PHE327796 PRA327696:PRA327796 QAW327696:QAW327796 QKS327696:QKS327796 QUO327696:QUO327796 REK327696:REK327796 ROG327696:ROG327796 RYC327696:RYC327796 SHY327696:SHY327796 SRU327696:SRU327796 TBQ327696:TBQ327796 TLM327696:TLM327796 TVI327696:TVI327796 UFE327696:UFE327796 UPA327696:UPA327796 UYW327696:UYW327796 VIS327696:VIS327796 VSO327696:VSO327796 WCK327696:WCK327796 WMG327696:WMG327796 WWC327696:WWC327796 U393232:U393332 JQ393232:JQ393332 TM393232:TM393332 ADI393232:ADI393332 ANE393232:ANE393332 AXA393232:AXA393332 BGW393232:BGW393332 BQS393232:BQS393332 CAO393232:CAO393332 CKK393232:CKK393332 CUG393232:CUG393332 DEC393232:DEC393332 DNY393232:DNY393332 DXU393232:DXU393332 EHQ393232:EHQ393332 ERM393232:ERM393332 FBI393232:FBI393332 FLE393232:FLE393332 FVA393232:FVA393332 GEW393232:GEW393332 GOS393232:GOS393332 GYO393232:GYO393332 HIK393232:HIK393332 HSG393232:HSG393332 ICC393232:ICC393332 ILY393232:ILY393332 IVU393232:IVU393332 JFQ393232:JFQ393332 JPM393232:JPM393332 JZI393232:JZI393332 KJE393232:KJE393332 KTA393232:KTA393332 LCW393232:LCW393332 LMS393232:LMS393332 LWO393232:LWO393332 MGK393232:MGK393332 MQG393232:MQG393332 NAC393232:NAC393332 NJY393232:NJY393332 NTU393232:NTU393332 ODQ393232:ODQ393332 ONM393232:ONM393332 OXI393232:OXI393332 PHE393232:PHE393332 PRA393232:PRA393332 QAW393232:QAW393332 QKS393232:QKS393332 QUO393232:QUO393332 REK393232:REK393332 ROG393232:ROG393332 RYC393232:RYC393332 SHY393232:SHY393332 SRU393232:SRU393332 TBQ393232:TBQ393332 TLM393232:TLM393332 TVI393232:TVI393332 UFE393232:UFE393332 UPA393232:UPA393332 UYW393232:UYW393332 VIS393232:VIS393332 VSO393232:VSO393332 WCK393232:WCK393332 WMG393232:WMG393332 WWC393232:WWC393332 U458768:U458868 JQ458768:JQ458868 TM458768:TM458868 ADI458768:ADI458868 ANE458768:ANE458868 AXA458768:AXA458868 BGW458768:BGW458868 BQS458768:BQS458868 CAO458768:CAO458868 CKK458768:CKK458868 CUG458768:CUG458868 DEC458768:DEC458868 DNY458768:DNY458868 DXU458768:DXU458868 EHQ458768:EHQ458868 ERM458768:ERM458868 FBI458768:FBI458868 FLE458768:FLE458868 FVA458768:FVA458868 GEW458768:GEW458868 GOS458768:GOS458868 GYO458768:GYO458868 HIK458768:HIK458868 HSG458768:HSG458868 ICC458768:ICC458868 ILY458768:ILY458868 IVU458768:IVU458868 JFQ458768:JFQ458868 JPM458768:JPM458868 JZI458768:JZI458868 KJE458768:KJE458868 KTA458768:KTA458868 LCW458768:LCW458868 LMS458768:LMS458868 LWO458768:LWO458868 MGK458768:MGK458868 MQG458768:MQG458868 NAC458768:NAC458868 NJY458768:NJY458868 NTU458768:NTU458868 ODQ458768:ODQ458868 ONM458768:ONM458868 OXI458768:OXI458868 PHE458768:PHE458868 PRA458768:PRA458868 QAW458768:QAW458868 QKS458768:QKS458868 QUO458768:QUO458868 REK458768:REK458868 ROG458768:ROG458868 RYC458768:RYC458868 SHY458768:SHY458868 SRU458768:SRU458868 TBQ458768:TBQ458868 TLM458768:TLM458868 TVI458768:TVI458868 UFE458768:UFE458868 UPA458768:UPA458868 UYW458768:UYW458868 VIS458768:VIS458868 VSO458768:VSO458868 WCK458768:WCK458868 WMG458768:WMG458868 WWC458768:WWC458868 U524304:U524404 JQ524304:JQ524404 TM524304:TM524404 ADI524304:ADI524404 ANE524304:ANE524404 AXA524304:AXA524404 BGW524304:BGW524404 BQS524304:BQS524404 CAO524304:CAO524404 CKK524304:CKK524404 CUG524304:CUG524404 DEC524304:DEC524404 DNY524304:DNY524404 DXU524304:DXU524404 EHQ524304:EHQ524404 ERM524304:ERM524404 FBI524304:FBI524404 FLE524304:FLE524404 FVA524304:FVA524404 GEW524304:GEW524404 GOS524304:GOS524404 GYO524304:GYO524404 HIK524304:HIK524404 HSG524304:HSG524404 ICC524304:ICC524404 ILY524304:ILY524404 IVU524304:IVU524404 JFQ524304:JFQ524404 JPM524304:JPM524404 JZI524304:JZI524404 KJE524304:KJE524404 KTA524304:KTA524404 LCW524304:LCW524404 LMS524304:LMS524404 LWO524304:LWO524404 MGK524304:MGK524404 MQG524304:MQG524404 NAC524304:NAC524404 NJY524304:NJY524404 NTU524304:NTU524404 ODQ524304:ODQ524404 ONM524304:ONM524404 OXI524304:OXI524404 PHE524304:PHE524404 PRA524304:PRA524404 QAW524304:QAW524404 QKS524304:QKS524404 QUO524304:QUO524404 REK524304:REK524404 ROG524304:ROG524404 RYC524304:RYC524404 SHY524304:SHY524404 SRU524304:SRU524404 TBQ524304:TBQ524404 TLM524304:TLM524404 TVI524304:TVI524404 UFE524304:UFE524404 UPA524304:UPA524404 UYW524304:UYW524404 VIS524304:VIS524404 VSO524304:VSO524404 WCK524304:WCK524404 WMG524304:WMG524404 WWC524304:WWC524404 U589840:U589940 JQ589840:JQ589940 TM589840:TM589940 ADI589840:ADI589940 ANE589840:ANE589940 AXA589840:AXA589940 BGW589840:BGW589940 BQS589840:BQS589940 CAO589840:CAO589940 CKK589840:CKK589940 CUG589840:CUG589940 DEC589840:DEC589940 DNY589840:DNY589940 DXU589840:DXU589940 EHQ589840:EHQ589940 ERM589840:ERM589940 FBI589840:FBI589940 FLE589840:FLE589940 FVA589840:FVA589940 GEW589840:GEW589940 GOS589840:GOS589940 GYO589840:GYO589940 HIK589840:HIK589940 HSG589840:HSG589940 ICC589840:ICC589940 ILY589840:ILY589940 IVU589840:IVU589940 JFQ589840:JFQ589940 JPM589840:JPM589940 JZI589840:JZI589940 KJE589840:KJE589940 KTA589840:KTA589940 LCW589840:LCW589940 LMS589840:LMS589940 LWO589840:LWO589940 MGK589840:MGK589940 MQG589840:MQG589940 NAC589840:NAC589940 NJY589840:NJY589940 NTU589840:NTU589940 ODQ589840:ODQ589940 ONM589840:ONM589940 OXI589840:OXI589940 PHE589840:PHE589940 PRA589840:PRA589940 QAW589840:QAW589940 QKS589840:QKS589940 QUO589840:QUO589940 REK589840:REK589940 ROG589840:ROG589940 RYC589840:RYC589940 SHY589840:SHY589940 SRU589840:SRU589940 TBQ589840:TBQ589940 TLM589840:TLM589940 TVI589840:TVI589940 UFE589840:UFE589940 UPA589840:UPA589940 UYW589840:UYW589940 VIS589840:VIS589940 VSO589840:VSO589940 WCK589840:WCK589940 WMG589840:WMG589940 WWC589840:WWC589940 U655376:U655476 JQ655376:JQ655476 TM655376:TM655476 ADI655376:ADI655476 ANE655376:ANE655476 AXA655376:AXA655476 BGW655376:BGW655476 BQS655376:BQS655476 CAO655376:CAO655476 CKK655376:CKK655476 CUG655376:CUG655476 DEC655376:DEC655476 DNY655376:DNY655476 DXU655376:DXU655476 EHQ655376:EHQ655476 ERM655376:ERM655476 FBI655376:FBI655476 FLE655376:FLE655476 FVA655376:FVA655476 GEW655376:GEW655476 GOS655376:GOS655476 GYO655376:GYO655476 HIK655376:HIK655476 HSG655376:HSG655476 ICC655376:ICC655476 ILY655376:ILY655476 IVU655376:IVU655476 JFQ655376:JFQ655476 JPM655376:JPM655476 JZI655376:JZI655476 KJE655376:KJE655476 KTA655376:KTA655476 LCW655376:LCW655476 LMS655376:LMS655476 LWO655376:LWO655476 MGK655376:MGK655476 MQG655376:MQG655476 NAC655376:NAC655476 NJY655376:NJY655476 NTU655376:NTU655476 ODQ655376:ODQ655476 ONM655376:ONM655476 OXI655376:OXI655476 PHE655376:PHE655476 PRA655376:PRA655476 QAW655376:QAW655476 QKS655376:QKS655476 QUO655376:QUO655476 REK655376:REK655476 ROG655376:ROG655476 RYC655376:RYC655476 SHY655376:SHY655476 SRU655376:SRU655476 TBQ655376:TBQ655476 TLM655376:TLM655476 TVI655376:TVI655476 UFE655376:UFE655476 UPA655376:UPA655476 UYW655376:UYW655476 VIS655376:VIS655476 VSO655376:VSO655476 WCK655376:WCK655476 WMG655376:WMG655476 WWC655376:WWC655476 U720912:U721012 JQ720912:JQ721012 TM720912:TM721012 ADI720912:ADI721012 ANE720912:ANE721012 AXA720912:AXA721012 BGW720912:BGW721012 BQS720912:BQS721012 CAO720912:CAO721012 CKK720912:CKK721012 CUG720912:CUG721012 DEC720912:DEC721012 DNY720912:DNY721012 DXU720912:DXU721012 EHQ720912:EHQ721012 ERM720912:ERM721012 FBI720912:FBI721012 FLE720912:FLE721012 FVA720912:FVA721012 GEW720912:GEW721012 GOS720912:GOS721012 GYO720912:GYO721012 HIK720912:HIK721012 HSG720912:HSG721012 ICC720912:ICC721012 ILY720912:ILY721012 IVU720912:IVU721012 JFQ720912:JFQ721012 JPM720912:JPM721012 JZI720912:JZI721012 KJE720912:KJE721012 KTA720912:KTA721012 LCW720912:LCW721012 LMS720912:LMS721012 LWO720912:LWO721012 MGK720912:MGK721012 MQG720912:MQG721012 NAC720912:NAC721012 NJY720912:NJY721012 NTU720912:NTU721012 ODQ720912:ODQ721012 ONM720912:ONM721012 OXI720912:OXI721012 PHE720912:PHE721012 PRA720912:PRA721012 QAW720912:QAW721012 QKS720912:QKS721012 QUO720912:QUO721012 REK720912:REK721012 ROG720912:ROG721012 RYC720912:RYC721012 SHY720912:SHY721012 SRU720912:SRU721012 TBQ720912:TBQ721012 TLM720912:TLM721012 TVI720912:TVI721012 UFE720912:UFE721012 UPA720912:UPA721012 UYW720912:UYW721012 VIS720912:VIS721012 VSO720912:VSO721012 WCK720912:WCK721012 WMG720912:WMG721012 WWC720912:WWC721012 U786448:U786548 JQ786448:JQ786548 TM786448:TM786548 ADI786448:ADI786548 ANE786448:ANE786548 AXA786448:AXA786548 BGW786448:BGW786548 BQS786448:BQS786548 CAO786448:CAO786548 CKK786448:CKK786548 CUG786448:CUG786548 DEC786448:DEC786548 DNY786448:DNY786548 DXU786448:DXU786548 EHQ786448:EHQ786548 ERM786448:ERM786548 FBI786448:FBI786548 FLE786448:FLE786548 FVA786448:FVA786548 GEW786448:GEW786548 GOS786448:GOS786548 GYO786448:GYO786548 HIK786448:HIK786548 HSG786448:HSG786548 ICC786448:ICC786548 ILY786448:ILY786548 IVU786448:IVU786548 JFQ786448:JFQ786548 JPM786448:JPM786548 JZI786448:JZI786548 KJE786448:KJE786548 KTA786448:KTA786548 LCW786448:LCW786548 LMS786448:LMS786548 LWO786448:LWO786548 MGK786448:MGK786548 MQG786448:MQG786548 NAC786448:NAC786548 NJY786448:NJY786548 NTU786448:NTU786548 ODQ786448:ODQ786548 ONM786448:ONM786548 OXI786448:OXI786548 PHE786448:PHE786548 PRA786448:PRA786548 QAW786448:QAW786548 QKS786448:QKS786548 QUO786448:QUO786548 REK786448:REK786548 ROG786448:ROG786548 RYC786448:RYC786548 SHY786448:SHY786548 SRU786448:SRU786548 TBQ786448:TBQ786548 TLM786448:TLM786548 TVI786448:TVI786548 UFE786448:UFE786548 UPA786448:UPA786548 UYW786448:UYW786548 VIS786448:VIS786548 VSO786448:VSO786548 WCK786448:WCK786548 WMG786448:WMG786548 WWC786448:WWC786548 U851984:U852084 JQ851984:JQ852084 TM851984:TM852084 ADI851984:ADI852084 ANE851984:ANE852084 AXA851984:AXA852084 BGW851984:BGW852084 BQS851984:BQS852084 CAO851984:CAO852084 CKK851984:CKK852084 CUG851984:CUG852084 DEC851984:DEC852084 DNY851984:DNY852084 DXU851984:DXU852084 EHQ851984:EHQ852084 ERM851984:ERM852084 FBI851984:FBI852084 FLE851984:FLE852084 FVA851984:FVA852084 GEW851984:GEW852084 GOS851984:GOS852084 GYO851984:GYO852084 HIK851984:HIK852084 HSG851984:HSG852084 ICC851984:ICC852084 ILY851984:ILY852084 IVU851984:IVU852084 JFQ851984:JFQ852084 JPM851984:JPM852084 JZI851984:JZI852084 KJE851984:KJE852084 KTA851984:KTA852084 LCW851984:LCW852084 LMS851984:LMS852084 LWO851984:LWO852084 MGK851984:MGK852084 MQG851984:MQG852084 NAC851984:NAC852084 NJY851984:NJY852084 NTU851984:NTU852084 ODQ851984:ODQ852084 ONM851984:ONM852084 OXI851984:OXI852084 PHE851984:PHE852084 PRA851984:PRA852084 QAW851984:QAW852084 QKS851984:QKS852084 QUO851984:QUO852084 REK851984:REK852084 ROG851984:ROG852084 RYC851984:RYC852084 SHY851984:SHY852084 SRU851984:SRU852084 TBQ851984:TBQ852084 TLM851984:TLM852084 TVI851984:TVI852084 UFE851984:UFE852084 UPA851984:UPA852084 UYW851984:UYW852084 VIS851984:VIS852084 VSO851984:VSO852084 WCK851984:WCK852084 WMG851984:WMG852084 WWC851984:WWC852084 U917520:U917620 JQ917520:JQ917620 TM917520:TM917620 ADI917520:ADI917620 ANE917520:ANE917620 AXA917520:AXA917620 BGW917520:BGW917620 BQS917520:BQS917620 CAO917520:CAO917620 CKK917520:CKK917620 CUG917520:CUG917620 DEC917520:DEC917620 DNY917520:DNY917620 DXU917520:DXU917620 EHQ917520:EHQ917620 ERM917520:ERM917620 FBI917520:FBI917620 FLE917520:FLE917620 FVA917520:FVA917620 GEW917520:GEW917620 GOS917520:GOS917620 GYO917520:GYO917620 HIK917520:HIK917620 HSG917520:HSG917620 ICC917520:ICC917620 ILY917520:ILY917620 IVU917520:IVU917620 JFQ917520:JFQ917620 JPM917520:JPM917620 JZI917520:JZI917620 KJE917520:KJE917620 KTA917520:KTA917620 LCW917520:LCW917620 LMS917520:LMS917620 LWO917520:LWO917620 MGK917520:MGK917620 MQG917520:MQG917620 NAC917520:NAC917620 NJY917520:NJY917620 NTU917520:NTU917620 ODQ917520:ODQ917620 ONM917520:ONM917620 OXI917520:OXI917620 PHE917520:PHE917620 PRA917520:PRA917620 QAW917520:QAW917620 QKS917520:QKS917620 QUO917520:QUO917620 REK917520:REK917620 ROG917520:ROG917620 RYC917520:RYC917620 SHY917520:SHY917620 SRU917520:SRU917620 TBQ917520:TBQ917620 TLM917520:TLM917620 TVI917520:TVI917620 UFE917520:UFE917620 UPA917520:UPA917620 UYW917520:UYW917620 VIS917520:VIS917620 VSO917520:VSO917620 WCK917520:WCK917620 WMG917520:WMG917620 WWC917520:WWC917620 U983056:U983156 JQ983056:JQ983156 TM983056:TM983156 ADI983056:ADI983156 ANE983056:ANE983156 AXA983056:AXA983156 BGW983056:BGW983156 BQS983056:BQS983156 CAO983056:CAO983156 CKK983056:CKK983156 CUG983056:CUG983156 DEC983056:DEC983156 DNY983056:DNY983156 DXU983056:DXU983156 EHQ983056:EHQ983156 ERM983056:ERM983156 FBI983056:FBI983156 FLE983056:FLE983156 FVA983056:FVA983156 GEW983056:GEW983156 GOS983056:GOS983156 GYO983056:GYO983156 HIK983056:HIK983156 HSG983056:HSG983156 ICC983056:ICC983156 ILY983056:ILY983156 IVU983056:IVU983156 JFQ983056:JFQ983156 JPM983056:JPM983156 JZI983056:JZI983156 KJE983056:KJE983156 KTA983056:KTA983156 LCW983056:LCW983156 LMS983056:LMS983156 LWO983056:LWO983156 MGK983056:MGK983156 MQG983056:MQG983156 NAC983056:NAC983156 NJY983056:NJY983156 NTU983056:NTU983156 ODQ983056:ODQ983156 ONM983056:ONM983156 OXI983056:OXI983156 PHE983056:PHE983156 PRA983056:PRA983156 QAW983056:QAW983156 QKS983056:QKS983156 QUO983056:QUO983156 REK983056:REK983156 ROG983056:ROG983156 RYC983056:RYC983156 SHY983056:SHY983156 SRU983056:SRU983156 TBQ983056:TBQ983156 TLM983056:TLM983156 TVI983056:TVI983156 UFE983056:UFE983156 UPA983056:UPA983156 UYW983056:UYW983156 VIS983056:VIS983156 VSO983056:VSO983156 WCK983056:WCK983156 WWC12:WWC65 WMG12:WMG65 WCK12:WCK65 VSO12:VSO65 VIS12:VIS65 UYW12:UYW65 UPA12:UPA65 UFE12:UFE65 TVI12:TVI65 TLM12:TLM65 TBQ12:TBQ65 SRU12:SRU65 SHY12:SHY65 RYC12:RYC65 ROG12:ROG65 REK12:REK65 QUO12:QUO65 QKS12:QKS65 QAW12:QAW65 PRA12:PRA65 PHE12:PHE65 OXI12:OXI65 ONM12:ONM65 ODQ12:ODQ65 NTU12:NTU65 NJY12:NJY65 NAC12:NAC65 MQG12:MQG65 MGK12:MGK65 LWO12:LWO65 LMS12:LMS65 LCW12:LCW65 KTA12:KTA65 KJE12:KJE65 JZI12:JZI65 JPM12:JPM65 JFQ12:JFQ65 IVU12:IVU65 ILY12:ILY65 ICC12:ICC65 HSG12:HSG65 HIK12:HIK65 GYO12:GYO65 GOS12:GOS65 GEW12:GEW65 FVA12:FVA65 FLE12:FLE65 FBI12:FBI65 ERM12:ERM65 EHQ12:EHQ65 DXU12:DXU65 DNY12:DNY65 DEC12:DEC65 CUG12:CUG65 CKK12:CKK65 CAO12:CAO65 BQS12:BQS65 BGW12:BGW65 AXA12:AXA65 ANE12:ANE65 ADI12:ADI65 TM12:TM65 JQ12:JQ65 JQ67:JQ116" xr:uid="{11894665-06B7-4778-AB07-39DBED1CE5B3}">
      <formula1>$U$10</formula1>
    </dataValidation>
    <dataValidation type="whole" operator="lessThanOrEqual" allowBlank="1" showInputMessage="1" showErrorMessage="1" error="INPUT NUMBER LESS THAN OR EQUAL THE HIGHEST POSSIBLE SCORE" prompt="Input Raw Score" sqref="WWB983056:WWB983156 TL67:TL116 ADH67:ADH116 AND67:AND116 AWZ67:AWZ116 BGV67:BGV116 BQR67:BQR116 CAN67:CAN116 CKJ67:CKJ116 CUF67:CUF116 DEB67:DEB116 DNX67:DNX116 DXT67:DXT116 EHP67:EHP116 ERL67:ERL116 FBH67:FBH116 FLD67:FLD116 FUZ67:FUZ116 GEV67:GEV116 GOR67:GOR116 GYN67:GYN116 HIJ67:HIJ116 HSF67:HSF116 ICB67:ICB116 ILX67:ILX116 IVT67:IVT116 JFP67:JFP116 JPL67:JPL116 JZH67:JZH116 KJD67:KJD116 KSZ67:KSZ116 LCV67:LCV116 LMR67:LMR116 LWN67:LWN116 MGJ67:MGJ116 MQF67:MQF116 NAB67:NAB116 NJX67:NJX116 NTT67:NTT116 ODP67:ODP116 ONL67:ONL116 OXH67:OXH116 PHD67:PHD116 PQZ67:PQZ116 QAV67:QAV116 QKR67:QKR116 QUN67:QUN116 REJ67:REJ116 ROF67:ROF116 RYB67:RYB116 SHX67:SHX116 SRT67:SRT116 TBP67:TBP116 TLL67:TLL116 TVH67:TVH116 UFD67:UFD116 UOZ67:UOZ116 UYV67:UYV116 VIR67:VIR116 VSN67:VSN116 WCJ67:WCJ116 WMF67:WMF116 WWB67:WWB116 WMF983056:WMF983156 T65552:T65652 JP65552:JP65652 TL65552:TL65652 ADH65552:ADH65652 AND65552:AND65652 AWZ65552:AWZ65652 BGV65552:BGV65652 BQR65552:BQR65652 CAN65552:CAN65652 CKJ65552:CKJ65652 CUF65552:CUF65652 DEB65552:DEB65652 DNX65552:DNX65652 DXT65552:DXT65652 EHP65552:EHP65652 ERL65552:ERL65652 FBH65552:FBH65652 FLD65552:FLD65652 FUZ65552:FUZ65652 GEV65552:GEV65652 GOR65552:GOR65652 GYN65552:GYN65652 HIJ65552:HIJ65652 HSF65552:HSF65652 ICB65552:ICB65652 ILX65552:ILX65652 IVT65552:IVT65652 JFP65552:JFP65652 JPL65552:JPL65652 JZH65552:JZH65652 KJD65552:KJD65652 KSZ65552:KSZ65652 LCV65552:LCV65652 LMR65552:LMR65652 LWN65552:LWN65652 MGJ65552:MGJ65652 MQF65552:MQF65652 NAB65552:NAB65652 NJX65552:NJX65652 NTT65552:NTT65652 ODP65552:ODP65652 ONL65552:ONL65652 OXH65552:OXH65652 PHD65552:PHD65652 PQZ65552:PQZ65652 QAV65552:QAV65652 QKR65552:QKR65652 QUN65552:QUN65652 REJ65552:REJ65652 ROF65552:ROF65652 RYB65552:RYB65652 SHX65552:SHX65652 SRT65552:SRT65652 TBP65552:TBP65652 TLL65552:TLL65652 TVH65552:TVH65652 UFD65552:UFD65652 UOZ65552:UOZ65652 UYV65552:UYV65652 VIR65552:VIR65652 VSN65552:VSN65652 WCJ65552:WCJ65652 WMF65552:WMF65652 WWB65552:WWB65652 T131088:T131188 JP131088:JP131188 TL131088:TL131188 ADH131088:ADH131188 AND131088:AND131188 AWZ131088:AWZ131188 BGV131088:BGV131188 BQR131088:BQR131188 CAN131088:CAN131188 CKJ131088:CKJ131188 CUF131088:CUF131188 DEB131088:DEB131188 DNX131088:DNX131188 DXT131088:DXT131188 EHP131088:EHP131188 ERL131088:ERL131188 FBH131088:FBH131188 FLD131088:FLD131188 FUZ131088:FUZ131188 GEV131088:GEV131188 GOR131088:GOR131188 GYN131088:GYN131188 HIJ131088:HIJ131188 HSF131088:HSF131188 ICB131088:ICB131188 ILX131088:ILX131188 IVT131088:IVT131188 JFP131088:JFP131188 JPL131088:JPL131188 JZH131088:JZH131188 KJD131088:KJD131188 KSZ131088:KSZ131188 LCV131088:LCV131188 LMR131088:LMR131188 LWN131088:LWN131188 MGJ131088:MGJ131188 MQF131088:MQF131188 NAB131088:NAB131188 NJX131088:NJX131188 NTT131088:NTT131188 ODP131088:ODP131188 ONL131088:ONL131188 OXH131088:OXH131188 PHD131088:PHD131188 PQZ131088:PQZ131188 QAV131088:QAV131188 QKR131088:QKR131188 QUN131088:QUN131188 REJ131088:REJ131188 ROF131088:ROF131188 RYB131088:RYB131188 SHX131088:SHX131188 SRT131088:SRT131188 TBP131088:TBP131188 TLL131088:TLL131188 TVH131088:TVH131188 UFD131088:UFD131188 UOZ131088:UOZ131188 UYV131088:UYV131188 VIR131088:VIR131188 VSN131088:VSN131188 WCJ131088:WCJ131188 WMF131088:WMF131188 WWB131088:WWB131188 T196624:T196724 JP196624:JP196724 TL196624:TL196724 ADH196624:ADH196724 AND196624:AND196724 AWZ196624:AWZ196724 BGV196624:BGV196724 BQR196624:BQR196724 CAN196624:CAN196724 CKJ196624:CKJ196724 CUF196624:CUF196724 DEB196624:DEB196724 DNX196624:DNX196724 DXT196624:DXT196724 EHP196624:EHP196724 ERL196624:ERL196724 FBH196624:FBH196724 FLD196624:FLD196724 FUZ196624:FUZ196724 GEV196624:GEV196724 GOR196624:GOR196724 GYN196624:GYN196724 HIJ196624:HIJ196724 HSF196624:HSF196724 ICB196624:ICB196724 ILX196624:ILX196724 IVT196624:IVT196724 JFP196624:JFP196724 JPL196624:JPL196724 JZH196624:JZH196724 KJD196624:KJD196724 KSZ196624:KSZ196724 LCV196624:LCV196724 LMR196624:LMR196724 LWN196624:LWN196724 MGJ196624:MGJ196724 MQF196624:MQF196724 NAB196624:NAB196724 NJX196624:NJX196724 NTT196624:NTT196724 ODP196624:ODP196724 ONL196624:ONL196724 OXH196624:OXH196724 PHD196624:PHD196724 PQZ196624:PQZ196724 QAV196624:QAV196724 QKR196624:QKR196724 QUN196624:QUN196724 REJ196624:REJ196724 ROF196624:ROF196724 RYB196624:RYB196724 SHX196624:SHX196724 SRT196624:SRT196724 TBP196624:TBP196724 TLL196624:TLL196724 TVH196624:TVH196724 UFD196624:UFD196724 UOZ196624:UOZ196724 UYV196624:UYV196724 VIR196624:VIR196724 VSN196624:VSN196724 WCJ196624:WCJ196724 WMF196624:WMF196724 WWB196624:WWB196724 T262160:T262260 JP262160:JP262260 TL262160:TL262260 ADH262160:ADH262260 AND262160:AND262260 AWZ262160:AWZ262260 BGV262160:BGV262260 BQR262160:BQR262260 CAN262160:CAN262260 CKJ262160:CKJ262260 CUF262160:CUF262260 DEB262160:DEB262260 DNX262160:DNX262260 DXT262160:DXT262260 EHP262160:EHP262260 ERL262160:ERL262260 FBH262160:FBH262260 FLD262160:FLD262260 FUZ262160:FUZ262260 GEV262160:GEV262260 GOR262160:GOR262260 GYN262160:GYN262260 HIJ262160:HIJ262260 HSF262160:HSF262260 ICB262160:ICB262260 ILX262160:ILX262260 IVT262160:IVT262260 JFP262160:JFP262260 JPL262160:JPL262260 JZH262160:JZH262260 KJD262160:KJD262260 KSZ262160:KSZ262260 LCV262160:LCV262260 LMR262160:LMR262260 LWN262160:LWN262260 MGJ262160:MGJ262260 MQF262160:MQF262260 NAB262160:NAB262260 NJX262160:NJX262260 NTT262160:NTT262260 ODP262160:ODP262260 ONL262160:ONL262260 OXH262160:OXH262260 PHD262160:PHD262260 PQZ262160:PQZ262260 QAV262160:QAV262260 QKR262160:QKR262260 QUN262160:QUN262260 REJ262160:REJ262260 ROF262160:ROF262260 RYB262160:RYB262260 SHX262160:SHX262260 SRT262160:SRT262260 TBP262160:TBP262260 TLL262160:TLL262260 TVH262160:TVH262260 UFD262160:UFD262260 UOZ262160:UOZ262260 UYV262160:UYV262260 VIR262160:VIR262260 VSN262160:VSN262260 WCJ262160:WCJ262260 WMF262160:WMF262260 WWB262160:WWB262260 T327696:T327796 JP327696:JP327796 TL327696:TL327796 ADH327696:ADH327796 AND327696:AND327796 AWZ327696:AWZ327796 BGV327696:BGV327796 BQR327696:BQR327796 CAN327696:CAN327796 CKJ327696:CKJ327796 CUF327696:CUF327796 DEB327696:DEB327796 DNX327696:DNX327796 DXT327696:DXT327796 EHP327696:EHP327796 ERL327696:ERL327796 FBH327696:FBH327796 FLD327696:FLD327796 FUZ327696:FUZ327796 GEV327696:GEV327796 GOR327696:GOR327796 GYN327696:GYN327796 HIJ327696:HIJ327796 HSF327696:HSF327796 ICB327696:ICB327796 ILX327696:ILX327796 IVT327696:IVT327796 JFP327696:JFP327796 JPL327696:JPL327796 JZH327696:JZH327796 KJD327696:KJD327796 KSZ327696:KSZ327796 LCV327696:LCV327796 LMR327696:LMR327796 LWN327696:LWN327796 MGJ327696:MGJ327796 MQF327696:MQF327796 NAB327696:NAB327796 NJX327696:NJX327796 NTT327696:NTT327796 ODP327696:ODP327796 ONL327696:ONL327796 OXH327696:OXH327796 PHD327696:PHD327796 PQZ327696:PQZ327796 QAV327696:QAV327796 QKR327696:QKR327796 QUN327696:QUN327796 REJ327696:REJ327796 ROF327696:ROF327796 RYB327696:RYB327796 SHX327696:SHX327796 SRT327696:SRT327796 TBP327696:TBP327796 TLL327696:TLL327796 TVH327696:TVH327796 UFD327696:UFD327796 UOZ327696:UOZ327796 UYV327696:UYV327796 VIR327696:VIR327796 VSN327696:VSN327796 WCJ327696:WCJ327796 WMF327696:WMF327796 WWB327696:WWB327796 T393232:T393332 JP393232:JP393332 TL393232:TL393332 ADH393232:ADH393332 AND393232:AND393332 AWZ393232:AWZ393332 BGV393232:BGV393332 BQR393232:BQR393332 CAN393232:CAN393332 CKJ393232:CKJ393332 CUF393232:CUF393332 DEB393232:DEB393332 DNX393232:DNX393332 DXT393232:DXT393332 EHP393232:EHP393332 ERL393232:ERL393332 FBH393232:FBH393332 FLD393232:FLD393332 FUZ393232:FUZ393332 GEV393232:GEV393332 GOR393232:GOR393332 GYN393232:GYN393332 HIJ393232:HIJ393332 HSF393232:HSF393332 ICB393232:ICB393332 ILX393232:ILX393332 IVT393232:IVT393332 JFP393232:JFP393332 JPL393232:JPL393332 JZH393232:JZH393332 KJD393232:KJD393332 KSZ393232:KSZ393332 LCV393232:LCV393332 LMR393232:LMR393332 LWN393232:LWN393332 MGJ393232:MGJ393332 MQF393232:MQF393332 NAB393232:NAB393332 NJX393232:NJX393332 NTT393232:NTT393332 ODP393232:ODP393332 ONL393232:ONL393332 OXH393232:OXH393332 PHD393232:PHD393332 PQZ393232:PQZ393332 QAV393232:QAV393332 QKR393232:QKR393332 QUN393232:QUN393332 REJ393232:REJ393332 ROF393232:ROF393332 RYB393232:RYB393332 SHX393232:SHX393332 SRT393232:SRT393332 TBP393232:TBP393332 TLL393232:TLL393332 TVH393232:TVH393332 UFD393232:UFD393332 UOZ393232:UOZ393332 UYV393232:UYV393332 VIR393232:VIR393332 VSN393232:VSN393332 WCJ393232:WCJ393332 WMF393232:WMF393332 WWB393232:WWB393332 T458768:T458868 JP458768:JP458868 TL458768:TL458868 ADH458768:ADH458868 AND458768:AND458868 AWZ458768:AWZ458868 BGV458768:BGV458868 BQR458768:BQR458868 CAN458768:CAN458868 CKJ458768:CKJ458868 CUF458768:CUF458868 DEB458768:DEB458868 DNX458768:DNX458868 DXT458768:DXT458868 EHP458768:EHP458868 ERL458768:ERL458868 FBH458768:FBH458868 FLD458768:FLD458868 FUZ458768:FUZ458868 GEV458768:GEV458868 GOR458768:GOR458868 GYN458768:GYN458868 HIJ458768:HIJ458868 HSF458768:HSF458868 ICB458768:ICB458868 ILX458768:ILX458868 IVT458768:IVT458868 JFP458768:JFP458868 JPL458768:JPL458868 JZH458768:JZH458868 KJD458768:KJD458868 KSZ458768:KSZ458868 LCV458768:LCV458868 LMR458768:LMR458868 LWN458768:LWN458868 MGJ458768:MGJ458868 MQF458768:MQF458868 NAB458768:NAB458868 NJX458768:NJX458868 NTT458768:NTT458868 ODP458768:ODP458868 ONL458768:ONL458868 OXH458768:OXH458868 PHD458768:PHD458868 PQZ458768:PQZ458868 QAV458768:QAV458868 QKR458768:QKR458868 QUN458768:QUN458868 REJ458768:REJ458868 ROF458768:ROF458868 RYB458768:RYB458868 SHX458768:SHX458868 SRT458768:SRT458868 TBP458768:TBP458868 TLL458768:TLL458868 TVH458768:TVH458868 UFD458768:UFD458868 UOZ458768:UOZ458868 UYV458768:UYV458868 VIR458768:VIR458868 VSN458768:VSN458868 WCJ458768:WCJ458868 WMF458768:WMF458868 WWB458768:WWB458868 T524304:T524404 JP524304:JP524404 TL524304:TL524404 ADH524304:ADH524404 AND524304:AND524404 AWZ524304:AWZ524404 BGV524304:BGV524404 BQR524304:BQR524404 CAN524304:CAN524404 CKJ524304:CKJ524404 CUF524304:CUF524404 DEB524304:DEB524404 DNX524304:DNX524404 DXT524304:DXT524404 EHP524304:EHP524404 ERL524304:ERL524404 FBH524304:FBH524404 FLD524304:FLD524404 FUZ524304:FUZ524404 GEV524304:GEV524404 GOR524304:GOR524404 GYN524304:GYN524404 HIJ524304:HIJ524404 HSF524304:HSF524404 ICB524304:ICB524404 ILX524304:ILX524404 IVT524304:IVT524404 JFP524304:JFP524404 JPL524304:JPL524404 JZH524304:JZH524404 KJD524304:KJD524404 KSZ524304:KSZ524404 LCV524304:LCV524404 LMR524304:LMR524404 LWN524304:LWN524404 MGJ524304:MGJ524404 MQF524304:MQF524404 NAB524304:NAB524404 NJX524304:NJX524404 NTT524304:NTT524404 ODP524304:ODP524404 ONL524304:ONL524404 OXH524304:OXH524404 PHD524304:PHD524404 PQZ524304:PQZ524404 QAV524304:QAV524404 QKR524304:QKR524404 QUN524304:QUN524404 REJ524304:REJ524404 ROF524304:ROF524404 RYB524304:RYB524404 SHX524304:SHX524404 SRT524304:SRT524404 TBP524304:TBP524404 TLL524304:TLL524404 TVH524304:TVH524404 UFD524304:UFD524404 UOZ524304:UOZ524404 UYV524304:UYV524404 VIR524304:VIR524404 VSN524304:VSN524404 WCJ524304:WCJ524404 WMF524304:WMF524404 WWB524304:WWB524404 T589840:T589940 JP589840:JP589940 TL589840:TL589940 ADH589840:ADH589940 AND589840:AND589940 AWZ589840:AWZ589940 BGV589840:BGV589940 BQR589840:BQR589940 CAN589840:CAN589940 CKJ589840:CKJ589940 CUF589840:CUF589940 DEB589840:DEB589940 DNX589840:DNX589940 DXT589840:DXT589940 EHP589840:EHP589940 ERL589840:ERL589940 FBH589840:FBH589940 FLD589840:FLD589940 FUZ589840:FUZ589940 GEV589840:GEV589940 GOR589840:GOR589940 GYN589840:GYN589940 HIJ589840:HIJ589940 HSF589840:HSF589940 ICB589840:ICB589940 ILX589840:ILX589940 IVT589840:IVT589940 JFP589840:JFP589940 JPL589840:JPL589940 JZH589840:JZH589940 KJD589840:KJD589940 KSZ589840:KSZ589940 LCV589840:LCV589940 LMR589840:LMR589940 LWN589840:LWN589940 MGJ589840:MGJ589940 MQF589840:MQF589940 NAB589840:NAB589940 NJX589840:NJX589940 NTT589840:NTT589940 ODP589840:ODP589940 ONL589840:ONL589940 OXH589840:OXH589940 PHD589840:PHD589940 PQZ589840:PQZ589940 QAV589840:QAV589940 QKR589840:QKR589940 QUN589840:QUN589940 REJ589840:REJ589940 ROF589840:ROF589940 RYB589840:RYB589940 SHX589840:SHX589940 SRT589840:SRT589940 TBP589840:TBP589940 TLL589840:TLL589940 TVH589840:TVH589940 UFD589840:UFD589940 UOZ589840:UOZ589940 UYV589840:UYV589940 VIR589840:VIR589940 VSN589840:VSN589940 WCJ589840:WCJ589940 WMF589840:WMF589940 WWB589840:WWB589940 T655376:T655476 JP655376:JP655476 TL655376:TL655476 ADH655376:ADH655476 AND655376:AND655476 AWZ655376:AWZ655476 BGV655376:BGV655476 BQR655376:BQR655476 CAN655376:CAN655476 CKJ655376:CKJ655476 CUF655376:CUF655476 DEB655376:DEB655476 DNX655376:DNX655476 DXT655376:DXT655476 EHP655376:EHP655476 ERL655376:ERL655476 FBH655376:FBH655476 FLD655376:FLD655476 FUZ655376:FUZ655476 GEV655376:GEV655476 GOR655376:GOR655476 GYN655376:GYN655476 HIJ655376:HIJ655476 HSF655376:HSF655476 ICB655376:ICB655476 ILX655376:ILX655476 IVT655376:IVT655476 JFP655376:JFP655476 JPL655376:JPL655476 JZH655376:JZH655476 KJD655376:KJD655476 KSZ655376:KSZ655476 LCV655376:LCV655476 LMR655376:LMR655476 LWN655376:LWN655476 MGJ655376:MGJ655476 MQF655376:MQF655476 NAB655376:NAB655476 NJX655376:NJX655476 NTT655376:NTT655476 ODP655376:ODP655476 ONL655376:ONL655476 OXH655376:OXH655476 PHD655376:PHD655476 PQZ655376:PQZ655476 QAV655376:QAV655476 QKR655376:QKR655476 QUN655376:QUN655476 REJ655376:REJ655476 ROF655376:ROF655476 RYB655376:RYB655476 SHX655376:SHX655476 SRT655376:SRT655476 TBP655376:TBP655476 TLL655376:TLL655476 TVH655376:TVH655476 UFD655376:UFD655476 UOZ655376:UOZ655476 UYV655376:UYV655476 VIR655376:VIR655476 VSN655376:VSN655476 WCJ655376:WCJ655476 WMF655376:WMF655476 WWB655376:WWB655476 T720912:T721012 JP720912:JP721012 TL720912:TL721012 ADH720912:ADH721012 AND720912:AND721012 AWZ720912:AWZ721012 BGV720912:BGV721012 BQR720912:BQR721012 CAN720912:CAN721012 CKJ720912:CKJ721012 CUF720912:CUF721012 DEB720912:DEB721012 DNX720912:DNX721012 DXT720912:DXT721012 EHP720912:EHP721012 ERL720912:ERL721012 FBH720912:FBH721012 FLD720912:FLD721012 FUZ720912:FUZ721012 GEV720912:GEV721012 GOR720912:GOR721012 GYN720912:GYN721012 HIJ720912:HIJ721012 HSF720912:HSF721012 ICB720912:ICB721012 ILX720912:ILX721012 IVT720912:IVT721012 JFP720912:JFP721012 JPL720912:JPL721012 JZH720912:JZH721012 KJD720912:KJD721012 KSZ720912:KSZ721012 LCV720912:LCV721012 LMR720912:LMR721012 LWN720912:LWN721012 MGJ720912:MGJ721012 MQF720912:MQF721012 NAB720912:NAB721012 NJX720912:NJX721012 NTT720912:NTT721012 ODP720912:ODP721012 ONL720912:ONL721012 OXH720912:OXH721012 PHD720912:PHD721012 PQZ720912:PQZ721012 QAV720912:QAV721012 QKR720912:QKR721012 QUN720912:QUN721012 REJ720912:REJ721012 ROF720912:ROF721012 RYB720912:RYB721012 SHX720912:SHX721012 SRT720912:SRT721012 TBP720912:TBP721012 TLL720912:TLL721012 TVH720912:TVH721012 UFD720912:UFD721012 UOZ720912:UOZ721012 UYV720912:UYV721012 VIR720912:VIR721012 VSN720912:VSN721012 WCJ720912:WCJ721012 WMF720912:WMF721012 WWB720912:WWB721012 T786448:T786548 JP786448:JP786548 TL786448:TL786548 ADH786448:ADH786548 AND786448:AND786548 AWZ786448:AWZ786548 BGV786448:BGV786548 BQR786448:BQR786548 CAN786448:CAN786548 CKJ786448:CKJ786548 CUF786448:CUF786548 DEB786448:DEB786548 DNX786448:DNX786548 DXT786448:DXT786548 EHP786448:EHP786548 ERL786448:ERL786548 FBH786448:FBH786548 FLD786448:FLD786548 FUZ786448:FUZ786548 GEV786448:GEV786548 GOR786448:GOR786548 GYN786448:GYN786548 HIJ786448:HIJ786548 HSF786448:HSF786548 ICB786448:ICB786548 ILX786448:ILX786548 IVT786448:IVT786548 JFP786448:JFP786548 JPL786448:JPL786548 JZH786448:JZH786548 KJD786448:KJD786548 KSZ786448:KSZ786548 LCV786448:LCV786548 LMR786448:LMR786548 LWN786448:LWN786548 MGJ786448:MGJ786548 MQF786448:MQF786548 NAB786448:NAB786548 NJX786448:NJX786548 NTT786448:NTT786548 ODP786448:ODP786548 ONL786448:ONL786548 OXH786448:OXH786548 PHD786448:PHD786548 PQZ786448:PQZ786548 QAV786448:QAV786548 QKR786448:QKR786548 QUN786448:QUN786548 REJ786448:REJ786548 ROF786448:ROF786548 RYB786448:RYB786548 SHX786448:SHX786548 SRT786448:SRT786548 TBP786448:TBP786548 TLL786448:TLL786548 TVH786448:TVH786548 UFD786448:UFD786548 UOZ786448:UOZ786548 UYV786448:UYV786548 VIR786448:VIR786548 VSN786448:VSN786548 WCJ786448:WCJ786548 WMF786448:WMF786548 WWB786448:WWB786548 T851984:T852084 JP851984:JP852084 TL851984:TL852084 ADH851984:ADH852084 AND851984:AND852084 AWZ851984:AWZ852084 BGV851984:BGV852084 BQR851984:BQR852084 CAN851984:CAN852084 CKJ851984:CKJ852084 CUF851984:CUF852084 DEB851984:DEB852084 DNX851984:DNX852084 DXT851984:DXT852084 EHP851984:EHP852084 ERL851984:ERL852084 FBH851984:FBH852084 FLD851984:FLD852084 FUZ851984:FUZ852084 GEV851984:GEV852084 GOR851984:GOR852084 GYN851984:GYN852084 HIJ851984:HIJ852084 HSF851984:HSF852084 ICB851984:ICB852084 ILX851984:ILX852084 IVT851984:IVT852084 JFP851984:JFP852084 JPL851984:JPL852084 JZH851984:JZH852084 KJD851984:KJD852084 KSZ851984:KSZ852084 LCV851984:LCV852084 LMR851984:LMR852084 LWN851984:LWN852084 MGJ851984:MGJ852084 MQF851984:MQF852084 NAB851984:NAB852084 NJX851984:NJX852084 NTT851984:NTT852084 ODP851984:ODP852084 ONL851984:ONL852084 OXH851984:OXH852084 PHD851984:PHD852084 PQZ851984:PQZ852084 QAV851984:QAV852084 QKR851984:QKR852084 QUN851984:QUN852084 REJ851984:REJ852084 ROF851984:ROF852084 RYB851984:RYB852084 SHX851984:SHX852084 SRT851984:SRT852084 TBP851984:TBP852084 TLL851984:TLL852084 TVH851984:TVH852084 UFD851984:UFD852084 UOZ851984:UOZ852084 UYV851984:UYV852084 VIR851984:VIR852084 VSN851984:VSN852084 WCJ851984:WCJ852084 WMF851984:WMF852084 WWB851984:WWB852084 T917520:T917620 JP917520:JP917620 TL917520:TL917620 ADH917520:ADH917620 AND917520:AND917620 AWZ917520:AWZ917620 BGV917520:BGV917620 BQR917520:BQR917620 CAN917520:CAN917620 CKJ917520:CKJ917620 CUF917520:CUF917620 DEB917520:DEB917620 DNX917520:DNX917620 DXT917520:DXT917620 EHP917520:EHP917620 ERL917520:ERL917620 FBH917520:FBH917620 FLD917520:FLD917620 FUZ917520:FUZ917620 GEV917520:GEV917620 GOR917520:GOR917620 GYN917520:GYN917620 HIJ917520:HIJ917620 HSF917520:HSF917620 ICB917520:ICB917620 ILX917520:ILX917620 IVT917520:IVT917620 JFP917520:JFP917620 JPL917520:JPL917620 JZH917520:JZH917620 KJD917520:KJD917620 KSZ917520:KSZ917620 LCV917520:LCV917620 LMR917520:LMR917620 LWN917520:LWN917620 MGJ917520:MGJ917620 MQF917520:MQF917620 NAB917520:NAB917620 NJX917520:NJX917620 NTT917520:NTT917620 ODP917520:ODP917620 ONL917520:ONL917620 OXH917520:OXH917620 PHD917520:PHD917620 PQZ917520:PQZ917620 QAV917520:QAV917620 QKR917520:QKR917620 QUN917520:QUN917620 REJ917520:REJ917620 ROF917520:ROF917620 RYB917520:RYB917620 SHX917520:SHX917620 SRT917520:SRT917620 TBP917520:TBP917620 TLL917520:TLL917620 TVH917520:TVH917620 UFD917520:UFD917620 UOZ917520:UOZ917620 UYV917520:UYV917620 VIR917520:VIR917620 VSN917520:VSN917620 WCJ917520:WCJ917620 WMF917520:WMF917620 WWB917520:WWB917620 T983056:T983156 JP983056:JP983156 TL983056:TL983156 ADH983056:ADH983156 AND983056:AND983156 AWZ983056:AWZ983156 BGV983056:BGV983156 BQR983056:BQR983156 CAN983056:CAN983156 CKJ983056:CKJ983156 CUF983056:CUF983156 DEB983056:DEB983156 DNX983056:DNX983156 DXT983056:DXT983156 EHP983056:EHP983156 ERL983056:ERL983156 FBH983056:FBH983156 FLD983056:FLD983156 FUZ983056:FUZ983156 GEV983056:GEV983156 GOR983056:GOR983156 GYN983056:GYN983156 HIJ983056:HIJ983156 HSF983056:HSF983156 ICB983056:ICB983156 ILX983056:ILX983156 IVT983056:IVT983156 JFP983056:JFP983156 JPL983056:JPL983156 JZH983056:JZH983156 KJD983056:KJD983156 KSZ983056:KSZ983156 LCV983056:LCV983156 LMR983056:LMR983156 LWN983056:LWN983156 MGJ983056:MGJ983156 MQF983056:MQF983156 NAB983056:NAB983156 NJX983056:NJX983156 NTT983056:NTT983156 ODP983056:ODP983156 ONL983056:ONL983156 OXH983056:OXH983156 PHD983056:PHD983156 PQZ983056:PQZ983156 QAV983056:QAV983156 QKR983056:QKR983156 QUN983056:QUN983156 REJ983056:REJ983156 ROF983056:ROF983156 RYB983056:RYB983156 SHX983056:SHX983156 SRT983056:SRT983156 TBP983056:TBP983156 TLL983056:TLL983156 TVH983056:TVH983156 UFD983056:UFD983156 UOZ983056:UOZ983156 UYV983056:UYV983156 VIR983056:VIR983156 VSN983056:VSN983156 WCJ983056:WCJ983156 WWB12:WWB65 WMF12:WMF65 WCJ12:WCJ65 VSN12:VSN65 VIR12:VIR65 UYV12:UYV65 UOZ12:UOZ65 UFD12:UFD65 TVH12:TVH65 TLL12:TLL65 TBP12:TBP65 SRT12:SRT65 SHX12:SHX65 RYB12:RYB65 ROF12:ROF65 REJ12:REJ65 QUN12:QUN65 QKR12:QKR65 QAV12:QAV65 PQZ12:PQZ65 PHD12:PHD65 OXH12:OXH65 ONL12:ONL65 ODP12:ODP65 NTT12:NTT65 NJX12:NJX65 NAB12:NAB65 MQF12:MQF65 MGJ12:MGJ65 LWN12:LWN65 LMR12:LMR65 LCV12:LCV65 KSZ12:KSZ65 KJD12:KJD65 JZH12:JZH65 JPL12:JPL65 JFP12:JFP65 IVT12:IVT65 ILX12:ILX65 ICB12:ICB65 HSF12:HSF65 HIJ12:HIJ65 GYN12:GYN65 GOR12:GOR65 GEV12:GEV65 FUZ12:FUZ65 FLD12:FLD65 FBH12:FBH65 ERL12:ERL65 EHP12:EHP65 DXT12:DXT65 DNX12:DNX65 DEB12:DEB65 CUF12:CUF65 CKJ12:CKJ65 CAN12:CAN65 BQR12:BQR65 BGV12:BGV65 AWZ12:AWZ65 AND12:AND65 ADH12:ADH65 TL12:TL65 JP12:JP65 JP67:JP116" xr:uid="{FA06F9E0-0D87-4C5A-AEC7-3B0094C4E712}">
      <formula1>$T$10</formula1>
    </dataValidation>
    <dataValidation type="whole" operator="lessThanOrEqual" allowBlank="1" showInputMessage="1" showErrorMessage="1" error="INPUT NUMBER LESS THAN OR EQUAL THE HIGHEST POSSIBLE SCORE" prompt="Input Raw Score" sqref="WWA983056:WWA983156 TK67:TK116 ADG67:ADG116 ANC67:ANC116 AWY67:AWY116 BGU67:BGU116 BQQ67:BQQ116 CAM67:CAM116 CKI67:CKI116 CUE67:CUE116 DEA67:DEA116 DNW67:DNW116 DXS67:DXS116 EHO67:EHO116 ERK67:ERK116 FBG67:FBG116 FLC67:FLC116 FUY67:FUY116 GEU67:GEU116 GOQ67:GOQ116 GYM67:GYM116 HII67:HII116 HSE67:HSE116 ICA67:ICA116 ILW67:ILW116 IVS67:IVS116 JFO67:JFO116 JPK67:JPK116 JZG67:JZG116 KJC67:KJC116 KSY67:KSY116 LCU67:LCU116 LMQ67:LMQ116 LWM67:LWM116 MGI67:MGI116 MQE67:MQE116 NAA67:NAA116 NJW67:NJW116 NTS67:NTS116 ODO67:ODO116 ONK67:ONK116 OXG67:OXG116 PHC67:PHC116 PQY67:PQY116 QAU67:QAU116 QKQ67:QKQ116 QUM67:QUM116 REI67:REI116 ROE67:ROE116 RYA67:RYA116 SHW67:SHW116 SRS67:SRS116 TBO67:TBO116 TLK67:TLK116 TVG67:TVG116 UFC67:UFC116 UOY67:UOY116 UYU67:UYU116 VIQ67:VIQ116 VSM67:VSM116 WCI67:WCI116 WME67:WME116 WWA67:WWA116 WME983056:WME983156 S65552:S65652 JO65552:JO65652 TK65552:TK65652 ADG65552:ADG65652 ANC65552:ANC65652 AWY65552:AWY65652 BGU65552:BGU65652 BQQ65552:BQQ65652 CAM65552:CAM65652 CKI65552:CKI65652 CUE65552:CUE65652 DEA65552:DEA65652 DNW65552:DNW65652 DXS65552:DXS65652 EHO65552:EHO65652 ERK65552:ERK65652 FBG65552:FBG65652 FLC65552:FLC65652 FUY65552:FUY65652 GEU65552:GEU65652 GOQ65552:GOQ65652 GYM65552:GYM65652 HII65552:HII65652 HSE65552:HSE65652 ICA65552:ICA65652 ILW65552:ILW65652 IVS65552:IVS65652 JFO65552:JFO65652 JPK65552:JPK65652 JZG65552:JZG65652 KJC65552:KJC65652 KSY65552:KSY65652 LCU65552:LCU65652 LMQ65552:LMQ65652 LWM65552:LWM65652 MGI65552:MGI65652 MQE65552:MQE65652 NAA65552:NAA65652 NJW65552:NJW65652 NTS65552:NTS65652 ODO65552:ODO65652 ONK65552:ONK65652 OXG65552:OXG65652 PHC65552:PHC65652 PQY65552:PQY65652 QAU65552:QAU65652 QKQ65552:QKQ65652 QUM65552:QUM65652 REI65552:REI65652 ROE65552:ROE65652 RYA65552:RYA65652 SHW65552:SHW65652 SRS65552:SRS65652 TBO65552:TBO65652 TLK65552:TLK65652 TVG65552:TVG65652 UFC65552:UFC65652 UOY65552:UOY65652 UYU65552:UYU65652 VIQ65552:VIQ65652 VSM65552:VSM65652 WCI65552:WCI65652 WME65552:WME65652 WWA65552:WWA65652 S131088:S131188 JO131088:JO131188 TK131088:TK131188 ADG131088:ADG131188 ANC131088:ANC131188 AWY131088:AWY131188 BGU131088:BGU131188 BQQ131088:BQQ131188 CAM131088:CAM131188 CKI131088:CKI131188 CUE131088:CUE131188 DEA131088:DEA131188 DNW131088:DNW131188 DXS131088:DXS131188 EHO131088:EHO131188 ERK131088:ERK131188 FBG131088:FBG131188 FLC131088:FLC131188 FUY131088:FUY131188 GEU131088:GEU131188 GOQ131088:GOQ131188 GYM131088:GYM131188 HII131088:HII131188 HSE131088:HSE131188 ICA131088:ICA131188 ILW131088:ILW131188 IVS131088:IVS131188 JFO131088:JFO131188 JPK131088:JPK131188 JZG131088:JZG131188 KJC131088:KJC131188 KSY131088:KSY131188 LCU131088:LCU131188 LMQ131088:LMQ131188 LWM131088:LWM131188 MGI131088:MGI131188 MQE131088:MQE131188 NAA131088:NAA131188 NJW131088:NJW131188 NTS131088:NTS131188 ODO131088:ODO131188 ONK131088:ONK131188 OXG131088:OXG131188 PHC131088:PHC131188 PQY131088:PQY131188 QAU131088:QAU131188 QKQ131088:QKQ131188 QUM131088:QUM131188 REI131088:REI131188 ROE131088:ROE131188 RYA131088:RYA131188 SHW131088:SHW131188 SRS131088:SRS131188 TBO131088:TBO131188 TLK131088:TLK131188 TVG131088:TVG131188 UFC131088:UFC131188 UOY131088:UOY131188 UYU131088:UYU131188 VIQ131088:VIQ131188 VSM131088:VSM131188 WCI131088:WCI131188 WME131088:WME131188 WWA131088:WWA131188 S196624:S196724 JO196624:JO196724 TK196624:TK196724 ADG196624:ADG196724 ANC196624:ANC196724 AWY196624:AWY196724 BGU196624:BGU196724 BQQ196624:BQQ196724 CAM196624:CAM196724 CKI196624:CKI196724 CUE196624:CUE196724 DEA196624:DEA196724 DNW196624:DNW196724 DXS196624:DXS196724 EHO196624:EHO196724 ERK196624:ERK196724 FBG196624:FBG196724 FLC196624:FLC196724 FUY196624:FUY196724 GEU196624:GEU196724 GOQ196624:GOQ196724 GYM196624:GYM196724 HII196624:HII196724 HSE196624:HSE196724 ICA196624:ICA196724 ILW196624:ILW196724 IVS196624:IVS196724 JFO196624:JFO196724 JPK196624:JPK196724 JZG196624:JZG196724 KJC196624:KJC196724 KSY196624:KSY196724 LCU196624:LCU196724 LMQ196624:LMQ196724 LWM196624:LWM196724 MGI196624:MGI196724 MQE196624:MQE196724 NAA196624:NAA196724 NJW196624:NJW196724 NTS196624:NTS196724 ODO196624:ODO196724 ONK196624:ONK196724 OXG196624:OXG196724 PHC196624:PHC196724 PQY196624:PQY196724 QAU196624:QAU196724 QKQ196624:QKQ196724 QUM196624:QUM196724 REI196624:REI196724 ROE196624:ROE196724 RYA196624:RYA196724 SHW196624:SHW196724 SRS196624:SRS196724 TBO196624:TBO196724 TLK196624:TLK196724 TVG196624:TVG196724 UFC196624:UFC196724 UOY196624:UOY196724 UYU196624:UYU196724 VIQ196624:VIQ196724 VSM196624:VSM196724 WCI196624:WCI196724 WME196624:WME196724 WWA196624:WWA196724 S262160:S262260 JO262160:JO262260 TK262160:TK262260 ADG262160:ADG262260 ANC262160:ANC262260 AWY262160:AWY262260 BGU262160:BGU262260 BQQ262160:BQQ262260 CAM262160:CAM262260 CKI262160:CKI262260 CUE262160:CUE262260 DEA262160:DEA262260 DNW262160:DNW262260 DXS262160:DXS262260 EHO262160:EHO262260 ERK262160:ERK262260 FBG262160:FBG262260 FLC262160:FLC262260 FUY262160:FUY262260 GEU262160:GEU262260 GOQ262160:GOQ262260 GYM262160:GYM262260 HII262160:HII262260 HSE262160:HSE262260 ICA262160:ICA262260 ILW262160:ILW262260 IVS262160:IVS262260 JFO262160:JFO262260 JPK262160:JPK262260 JZG262160:JZG262260 KJC262160:KJC262260 KSY262160:KSY262260 LCU262160:LCU262260 LMQ262160:LMQ262260 LWM262160:LWM262260 MGI262160:MGI262260 MQE262160:MQE262260 NAA262160:NAA262260 NJW262160:NJW262260 NTS262160:NTS262260 ODO262160:ODO262260 ONK262160:ONK262260 OXG262160:OXG262260 PHC262160:PHC262260 PQY262160:PQY262260 QAU262160:QAU262260 QKQ262160:QKQ262260 QUM262160:QUM262260 REI262160:REI262260 ROE262160:ROE262260 RYA262160:RYA262260 SHW262160:SHW262260 SRS262160:SRS262260 TBO262160:TBO262260 TLK262160:TLK262260 TVG262160:TVG262260 UFC262160:UFC262260 UOY262160:UOY262260 UYU262160:UYU262260 VIQ262160:VIQ262260 VSM262160:VSM262260 WCI262160:WCI262260 WME262160:WME262260 WWA262160:WWA262260 S327696:S327796 JO327696:JO327796 TK327696:TK327796 ADG327696:ADG327796 ANC327696:ANC327796 AWY327696:AWY327796 BGU327696:BGU327796 BQQ327696:BQQ327796 CAM327696:CAM327796 CKI327696:CKI327796 CUE327696:CUE327796 DEA327696:DEA327796 DNW327696:DNW327796 DXS327696:DXS327796 EHO327696:EHO327796 ERK327696:ERK327796 FBG327696:FBG327796 FLC327696:FLC327796 FUY327696:FUY327796 GEU327696:GEU327796 GOQ327696:GOQ327796 GYM327696:GYM327796 HII327696:HII327796 HSE327696:HSE327796 ICA327696:ICA327796 ILW327696:ILW327796 IVS327696:IVS327796 JFO327696:JFO327796 JPK327696:JPK327796 JZG327696:JZG327796 KJC327696:KJC327796 KSY327696:KSY327796 LCU327696:LCU327796 LMQ327696:LMQ327796 LWM327696:LWM327796 MGI327696:MGI327796 MQE327696:MQE327796 NAA327696:NAA327796 NJW327696:NJW327796 NTS327696:NTS327796 ODO327696:ODO327796 ONK327696:ONK327796 OXG327696:OXG327796 PHC327696:PHC327796 PQY327696:PQY327796 QAU327696:QAU327796 QKQ327696:QKQ327796 QUM327696:QUM327796 REI327696:REI327796 ROE327696:ROE327796 RYA327696:RYA327796 SHW327696:SHW327796 SRS327696:SRS327796 TBO327696:TBO327796 TLK327696:TLK327796 TVG327696:TVG327796 UFC327696:UFC327796 UOY327696:UOY327796 UYU327696:UYU327796 VIQ327696:VIQ327796 VSM327696:VSM327796 WCI327696:WCI327796 WME327696:WME327796 WWA327696:WWA327796 S393232:S393332 JO393232:JO393332 TK393232:TK393332 ADG393232:ADG393332 ANC393232:ANC393332 AWY393232:AWY393332 BGU393232:BGU393332 BQQ393232:BQQ393332 CAM393232:CAM393332 CKI393232:CKI393332 CUE393232:CUE393332 DEA393232:DEA393332 DNW393232:DNW393332 DXS393232:DXS393332 EHO393232:EHO393332 ERK393232:ERK393332 FBG393232:FBG393332 FLC393232:FLC393332 FUY393232:FUY393332 GEU393232:GEU393332 GOQ393232:GOQ393332 GYM393232:GYM393332 HII393232:HII393332 HSE393232:HSE393332 ICA393232:ICA393332 ILW393232:ILW393332 IVS393232:IVS393332 JFO393232:JFO393332 JPK393232:JPK393332 JZG393232:JZG393332 KJC393232:KJC393332 KSY393232:KSY393332 LCU393232:LCU393332 LMQ393232:LMQ393332 LWM393232:LWM393332 MGI393232:MGI393332 MQE393232:MQE393332 NAA393232:NAA393332 NJW393232:NJW393332 NTS393232:NTS393332 ODO393232:ODO393332 ONK393232:ONK393332 OXG393232:OXG393332 PHC393232:PHC393332 PQY393232:PQY393332 QAU393232:QAU393332 QKQ393232:QKQ393332 QUM393232:QUM393332 REI393232:REI393332 ROE393232:ROE393332 RYA393232:RYA393332 SHW393232:SHW393332 SRS393232:SRS393332 TBO393232:TBO393332 TLK393232:TLK393332 TVG393232:TVG393332 UFC393232:UFC393332 UOY393232:UOY393332 UYU393232:UYU393332 VIQ393232:VIQ393332 VSM393232:VSM393332 WCI393232:WCI393332 WME393232:WME393332 WWA393232:WWA393332 S458768:S458868 JO458768:JO458868 TK458768:TK458868 ADG458768:ADG458868 ANC458768:ANC458868 AWY458768:AWY458868 BGU458768:BGU458868 BQQ458768:BQQ458868 CAM458768:CAM458868 CKI458768:CKI458868 CUE458768:CUE458868 DEA458768:DEA458868 DNW458768:DNW458868 DXS458768:DXS458868 EHO458768:EHO458868 ERK458768:ERK458868 FBG458768:FBG458868 FLC458768:FLC458868 FUY458768:FUY458868 GEU458768:GEU458868 GOQ458768:GOQ458868 GYM458768:GYM458868 HII458768:HII458868 HSE458768:HSE458868 ICA458768:ICA458868 ILW458768:ILW458868 IVS458768:IVS458868 JFO458768:JFO458868 JPK458768:JPK458868 JZG458768:JZG458868 KJC458768:KJC458868 KSY458768:KSY458868 LCU458768:LCU458868 LMQ458768:LMQ458868 LWM458768:LWM458868 MGI458768:MGI458868 MQE458768:MQE458868 NAA458768:NAA458868 NJW458768:NJW458868 NTS458768:NTS458868 ODO458768:ODO458868 ONK458768:ONK458868 OXG458768:OXG458868 PHC458768:PHC458868 PQY458768:PQY458868 QAU458768:QAU458868 QKQ458768:QKQ458868 QUM458768:QUM458868 REI458768:REI458868 ROE458768:ROE458868 RYA458768:RYA458868 SHW458768:SHW458868 SRS458768:SRS458868 TBO458768:TBO458868 TLK458768:TLK458868 TVG458768:TVG458868 UFC458768:UFC458868 UOY458768:UOY458868 UYU458768:UYU458868 VIQ458768:VIQ458868 VSM458768:VSM458868 WCI458768:WCI458868 WME458768:WME458868 WWA458768:WWA458868 S524304:S524404 JO524304:JO524404 TK524304:TK524404 ADG524304:ADG524404 ANC524304:ANC524404 AWY524304:AWY524404 BGU524304:BGU524404 BQQ524304:BQQ524404 CAM524304:CAM524404 CKI524304:CKI524404 CUE524304:CUE524404 DEA524304:DEA524404 DNW524304:DNW524404 DXS524304:DXS524404 EHO524304:EHO524404 ERK524304:ERK524404 FBG524304:FBG524404 FLC524304:FLC524404 FUY524304:FUY524404 GEU524304:GEU524404 GOQ524304:GOQ524404 GYM524304:GYM524404 HII524304:HII524404 HSE524304:HSE524404 ICA524304:ICA524404 ILW524304:ILW524404 IVS524304:IVS524404 JFO524304:JFO524404 JPK524304:JPK524404 JZG524304:JZG524404 KJC524304:KJC524404 KSY524304:KSY524404 LCU524304:LCU524404 LMQ524304:LMQ524404 LWM524304:LWM524404 MGI524304:MGI524404 MQE524304:MQE524404 NAA524304:NAA524404 NJW524304:NJW524404 NTS524304:NTS524404 ODO524304:ODO524404 ONK524304:ONK524404 OXG524304:OXG524404 PHC524304:PHC524404 PQY524304:PQY524404 QAU524304:QAU524404 QKQ524304:QKQ524404 QUM524304:QUM524404 REI524304:REI524404 ROE524304:ROE524404 RYA524304:RYA524404 SHW524304:SHW524404 SRS524304:SRS524404 TBO524304:TBO524404 TLK524304:TLK524404 TVG524304:TVG524404 UFC524304:UFC524404 UOY524304:UOY524404 UYU524304:UYU524404 VIQ524304:VIQ524404 VSM524304:VSM524404 WCI524304:WCI524404 WME524304:WME524404 WWA524304:WWA524404 S589840:S589940 JO589840:JO589940 TK589840:TK589940 ADG589840:ADG589940 ANC589840:ANC589940 AWY589840:AWY589940 BGU589840:BGU589940 BQQ589840:BQQ589940 CAM589840:CAM589940 CKI589840:CKI589940 CUE589840:CUE589940 DEA589840:DEA589940 DNW589840:DNW589940 DXS589840:DXS589940 EHO589840:EHO589940 ERK589840:ERK589940 FBG589840:FBG589940 FLC589840:FLC589940 FUY589840:FUY589940 GEU589840:GEU589940 GOQ589840:GOQ589940 GYM589840:GYM589940 HII589840:HII589940 HSE589840:HSE589940 ICA589840:ICA589940 ILW589840:ILW589940 IVS589840:IVS589940 JFO589840:JFO589940 JPK589840:JPK589940 JZG589840:JZG589940 KJC589840:KJC589940 KSY589840:KSY589940 LCU589840:LCU589940 LMQ589840:LMQ589940 LWM589840:LWM589940 MGI589840:MGI589940 MQE589840:MQE589940 NAA589840:NAA589940 NJW589840:NJW589940 NTS589840:NTS589940 ODO589840:ODO589940 ONK589840:ONK589940 OXG589840:OXG589940 PHC589840:PHC589940 PQY589840:PQY589940 QAU589840:QAU589940 QKQ589840:QKQ589940 QUM589840:QUM589940 REI589840:REI589940 ROE589840:ROE589940 RYA589840:RYA589940 SHW589840:SHW589940 SRS589840:SRS589940 TBO589840:TBO589940 TLK589840:TLK589940 TVG589840:TVG589940 UFC589840:UFC589940 UOY589840:UOY589940 UYU589840:UYU589940 VIQ589840:VIQ589940 VSM589840:VSM589940 WCI589840:WCI589940 WME589840:WME589940 WWA589840:WWA589940 S655376:S655476 JO655376:JO655476 TK655376:TK655476 ADG655376:ADG655476 ANC655376:ANC655476 AWY655376:AWY655476 BGU655376:BGU655476 BQQ655376:BQQ655476 CAM655376:CAM655476 CKI655376:CKI655476 CUE655376:CUE655476 DEA655376:DEA655476 DNW655376:DNW655476 DXS655376:DXS655476 EHO655376:EHO655476 ERK655376:ERK655476 FBG655376:FBG655476 FLC655376:FLC655476 FUY655376:FUY655476 GEU655376:GEU655476 GOQ655376:GOQ655476 GYM655376:GYM655476 HII655376:HII655476 HSE655376:HSE655476 ICA655376:ICA655476 ILW655376:ILW655476 IVS655376:IVS655476 JFO655376:JFO655476 JPK655376:JPK655476 JZG655376:JZG655476 KJC655376:KJC655476 KSY655376:KSY655476 LCU655376:LCU655476 LMQ655376:LMQ655476 LWM655376:LWM655476 MGI655376:MGI655476 MQE655376:MQE655476 NAA655376:NAA655476 NJW655376:NJW655476 NTS655376:NTS655476 ODO655376:ODO655476 ONK655376:ONK655476 OXG655376:OXG655476 PHC655376:PHC655476 PQY655376:PQY655476 QAU655376:QAU655476 QKQ655376:QKQ655476 QUM655376:QUM655476 REI655376:REI655476 ROE655376:ROE655476 RYA655376:RYA655476 SHW655376:SHW655476 SRS655376:SRS655476 TBO655376:TBO655476 TLK655376:TLK655476 TVG655376:TVG655476 UFC655376:UFC655476 UOY655376:UOY655476 UYU655376:UYU655476 VIQ655376:VIQ655476 VSM655376:VSM655476 WCI655376:WCI655476 WME655376:WME655476 WWA655376:WWA655476 S720912:S721012 JO720912:JO721012 TK720912:TK721012 ADG720912:ADG721012 ANC720912:ANC721012 AWY720912:AWY721012 BGU720912:BGU721012 BQQ720912:BQQ721012 CAM720912:CAM721012 CKI720912:CKI721012 CUE720912:CUE721012 DEA720912:DEA721012 DNW720912:DNW721012 DXS720912:DXS721012 EHO720912:EHO721012 ERK720912:ERK721012 FBG720912:FBG721012 FLC720912:FLC721012 FUY720912:FUY721012 GEU720912:GEU721012 GOQ720912:GOQ721012 GYM720912:GYM721012 HII720912:HII721012 HSE720912:HSE721012 ICA720912:ICA721012 ILW720912:ILW721012 IVS720912:IVS721012 JFO720912:JFO721012 JPK720912:JPK721012 JZG720912:JZG721012 KJC720912:KJC721012 KSY720912:KSY721012 LCU720912:LCU721012 LMQ720912:LMQ721012 LWM720912:LWM721012 MGI720912:MGI721012 MQE720912:MQE721012 NAA720912:NAA721012 NJW720912:NJW721012 NTS720912:NTS721012 ODO720912:ODO721012 ONK720912:ONK721012 OXG720912:OXG721012 PHC720912:PHC721012 PQY720912:PQY721012 QAU720912:QAU721012 QKQ720912:QKQ721012 QUM720912:QUM721012 REI720912:REI721012 ROE720912:ROE721012 RYA720912:RYA721012 SHW720912:SHW721012 SRS720912:SRS721012 TBO720912:TBO721012 TLK720912:TLK721012 TVG720912:TVG721012 UFC720912:UFC721012 UOY720912:UOY721012 UYU720912:UYU721012 VIQ720912:VIQ721012 VSM720912:VSM721012 WCI720912:WCI721012 WME720912:WME721012 WWA720912:WWA721012 S786448:S786548 JO786448:JO786548 TK786448:TK786548 ADG786448:ADG786548 ANC786448:ANC786548 AWY786448:AWY786548 BGU786448:BGU786548 BQQ786448:BQQ786548 CAM786448:CAM786548 CKI786448:CKI786548 CUE786448:CUE786548 DEA786448:DEA786548 DNW786448:DNW786548 DXS786448:DXS786548 EHO786448:EHO786548 ERK786448:ERK786548 FBG786448:FBG786548 FLC786448:FLC786548 FUY786448:FUY786548 GEU786448:GEU786548 GOQ786448:GOQ786548 GYM786448:GYM786548 HII786448:HII786548 HSE786448:HSE786548 ICA786448:ICA786548 ILW786448:ILW786548 IVS786448:IVS786548 JFO786448:JFO786548 JPK786448:JPK786548 JZG786448:JZG786548 KJC786448:KJC786548 KSY786448:KSY786548 LCU786448:LCU786548 LMQ786448:LMQ786548 LWM786448:LWM786548 MGI786448:MGI786548 MQE786448:MQE786548 NAA786448:NAA786548 NJW786448:NJW786548 NTS786448:NTS786548 ODO786448:ODO786548 ONK786448:ONK786548 OXG786448:OXG786548 PHC786448:PHC786548 PQY786448:PQY786548 QAU786448:QAU786548 QKQ786448:QKQ786548 QUM786448:QUM786548 REI786448:REI786548 ROE786448:ROE786548 RYA786448:RYA786548 SHW786448:SHW786548 SRS786448:SRS786548 TBO786448:TBO786548 TLK786448:TLK786548 TVG786448:TVG786548 UFC786448:UFC786548 UOY786448:UOY786548 UYU786448:UYU786548 VIQ786448:VIQ786548 VSM786448:VSM786548 WCI786448:WCI786548 WME786448:WME786548 WWA786448:WWA786548 S851984:S852084 JO851984:JO852084 TK851984:TK852084 ADG851984:ADG852084 ANC851984:ANC852084 AWY851984:AWY852084 BGU851984:BGU852084 BQQ851984:BQQ852084 CAM851984:CAM852084 CKI851984:CKI852084 CUE851984:CUE852084 DEA851984:DEA852084 DNW851984:DNW852084 DXS851984:DXS852084 EHO851984:EHO852084 ERK851984:ERK852084 FBG851984:FBG852084 FLC851984:FLC852084 FUY851984:FUY852084 GEU851984:GEU852084 GOQ851984:GOQ852084 GYM851984:GYM852084 HII851984:HII852084 HSE851984:HSE852084 ICA851984:ICA852084 ILW851984:ILW852084 IVS851984:IVS852084 JFO851984:JFO852084 JPK851984:JPK852084 JZG851984:JZG852084 KJC851984:KJC852084 KSY851984:KSY852084 LCU851984:LCU852084 LMQ851984:LMQ852084 LWM851984:LWM852084 MGI851984:MGI852084 MQE851984:MQE852084 NAA851984:NAA852084 NJW851984:NJW852084 NTS851984:NTS852084 ODO851984:ODO852084 ONK851984:ONK852084 OXG851984:OXG852084 PHC851984:PHC852084 PQY851984:PQY852084 QAU851984:QAU852084 QKQ851984:QKQ852084 QUM851984:QUM852084 REI851984:REI852084 ROE851984:ROE852084 RYA851984:RYA852084 SHW851984:SHW852084 SRS851984:SRS852084 TBO851984:TBO852084 TLK851984:TLK852084 TVG851984:TVG852084 UFC851984:UFC852084 UOY851984:UOY852084 UYU851984:UYU852084 VIQ851984:VIQ852084 VSM851984:VSM852084 WCI851984:WCI852084 WME851984:WME852084 WWA851984:WWA852084 S917520:S917620 JO917520:JO917620 TK917520:TK917620 ADG917520:ADG917620 ANC917520:ANC917620 AWY917520:AWY917620 BGU917520:BGU917620 BQQ917520:BQQ917620 CAM917520:CAM917620 CKI917520:CKI917620 CUE917520:CUE917620 DEA917520:DEA917620 DNW917520:DNW917620 DXS917520:DXS917620 EHO917520:EHO917620 ERK917520:ERK917620 FBG917520:FBG917620 FLC917520:FLC917620 FUY917520:FUY917620 GEU917520:GEU917620 GOQ917520:GOQ917620 GYM917520:GYM917620 HII917520:HII917620 HSE917520:HSE917620 ICA917520:ICA917620 ILW917520:ILW917620 IVS917520:IVS917620 JFO917520:JFO917620 JPK917520:JPK917620 JZG917520:JZG917620 KJC917520:KJC917620 KSY917520:KSY917620 LCU917520:LCU917620 LMQ917520:LMQ917620 LWM917520:LWM917620 MGI917520:MGI917620 MQE917520:MQE917620 NAA917520:NAA917620 NJW917520:NJW917620 NTS917520:NTS917620 ODO917520:ODO917620 ONK917520:ONK917620 OXG917520:OXG917620 PHC917520:PHC917620 PQY917520:PQY917620 QAU917520:QAU917620 QKQ917520:QKQ917620 QUM917520:QUM917620 REI917520:REI917620 ROE917520:ROE917620 RYA917520:RYA917620 SHW917520:SHW917620 SRS917520:SRS917620 TBO917520:TBO917620 TLK917520:TLK917620 TVG917520:TVG917620 UFC917520:UFC917620 UOY917520:UOY917620 UYU917520:UYU917620 VIQ917520:VIQ917620 VSM917520:VSM917620 WCI917520:WCI917620 WME917520:WME917620 WWA917520:WWA917620 S983056:S983156 JO983056:JO983156 TK983056:TK983156 ADG983056:ADG983156 ANC983056:ANC983156 AWY983056:AWY983156 BGU983056:BGU983156 BQQ983056:BQQ983156 CAM983056:CAM983156 CKI983056:CKI983156 CUE983056:CUE983156 DEA983056:DEA983156 DNW983056:DNW983156 DXS983056:DXS983156 EHO983056:EHO983156 ERK983056:ERK983156 FBG983056:FBG983156 FLC983056:FLC983156 FUY983056:FUY983156 GEU983056:GEU983156 GOQ983056:GOQ983156 GYM983056:GYM983156 HII983056:HII983156 HSE983056:HSE983156 ICA983056:ICA983156 ILW983056:ILW983156 IVS983056:IVS983156 JFO983056:JFO983156 JPK983056:JPK983156 JZG983056:JZG983156 KJC983056:KJC983156 KSY983056:KSY983156 LCU983056:LCU983156 LMQ983056:LMQ983156 LWM983056:LWM983156 MGI983056:MGI983156 MQE983056:MQE983156 NAA983056:NAA983156 NJW983056:NJW983156 NTS983056:NTS983156 ODO983056:ODO983156 ONK983056:ONK983156 OXG983056:OXG983156 PHC983056:PHC983156 PQY983056:PQY983156 QAU983056:QAU983156 QKQ983056:QKQ983156 QUM983056:QUM983156 REI983056:REI983156 ROE983056:ROE983156 RYA983056:RYA983156 SHW983056:SHW983156 SRS983056:SRS983156 TBO983056:TBO983156 TLK983056:TLK983156 TVG983056:TVG983156 UFC983056:UFC983156 UOY983056:UOY983156 UYU983056:UYU983156 VIQ983056:VIQ983156 VSM983056:VSM983156 WCI983056:WCI983156 WWA12:WWA65 WME12:WME65 WCI12:WCI65 VSM12:VSM65 VIQ12:VIQ65 UYU12:UYU65 UOY12:UOY65 UFC12:UFC65 TVG12:TVG65 TLK12:TLK65 TBO12:TBO65 SRS12:SRS65 SHW12:SHW65 RYA12:RYA65 ROE12:ROE65 REI12:REI65 QUM12:QUM65 QKQ12:QKQ65 QAU12:QAU65 PQY12:PQY65 PHC12:PHC65 OXG12:OXG65 ONK12:ONK65 ODO12:ODO65 NTS12:NTS65 NJW12:NJW65 NAA12:NAA65 MQE12:MQE65 MGI12:MGI65 LWM12:LWM65 LMQ12:LMQ65 LCU12:LCU65 KSY12:KSY65 KJC12:KJC65 JZG12:JZG65 JPK12:JPK65 JFO12:JFO65 IVS12:IVS65 ILW12:ILW65 ICA12:ICA65 HSE12:HSE65 HII12:HII65 GYM12:GYM65 GOQ12:GOQ65 GEU12:GEU65 FUY12:FUY65 FLC12:FLC65 FBG12:FBG65 ERK12:ERK65 EHO12:EHO65 DXS12:DXS65 DNW12:DNW65 DEA12:DEA65 CUE12:CUE65 CKI12:CKI65 CAM12:CAM65 BQQ12:BQQ65 BGU12:BGU65 AWY12:AWY65 ANC12:ANC65 ADG12:ADG65 TK12:TK65 JO12:JO65 JO67:JO116" xr:uid="{5BB848DD-D312-4FE3-B09A-9CCE64F9AB93}">
      <formula1>$S$10</formula1>
    </dataValidation>
    <dataValidation type="whole" operator="lessThanOrEqual" allowBlank="1" showInputMessage="1" showErrorMessage="1" error="INPUT NUMBER LESS THAN OR EQUAL THE HIGHEST POSSIBLE SCORE" prompt="Input Raw Score" sqref="WVW983056:WVW983156 TG67:TG116 ADC67:ADC116 AMY67:AMY116 AWU67:AWU116 BGQ67:BGQ116 BQM67:BQM116 CAI67:CAI116 CKE67:CKE116 CUA67:CUA116 DDW67:DDW116 DNS67:DNS116 DXO67:DXO116 EHK67:EHK116 ERG67:ERG116 FBC67:FBC116 FKY67:FKY116 FUU67:FUU116 GEQ67:GEQ116 GOM67:GOM116 GYI67:GYI116 HIE67:HIE116 HSA67:HSA116 IBW67:IBW116 ILS67:ILS116 IVO67:IVO116 JFK67:JFK116 JPG67:JPG116 JZC67:JZC116 KIY67:KIY116 KSU67:KSU116 LCQ67:LCQ116 LMM67:LMM116 LWI67:LWI116 MGE67:MGE116 MQA67:MQA116 MZW67:MZW116 NJS67:NJS116 NTO67:NTO116 ODK67:ODK116 ONG67:ONG116 OXC67:OXC116 PGY67:PGY116 PQU67:PQU116 QAQ67:QAQ116 QKM67:QKM116 QUI67:QUI116 REE67:REE116 ROA67:ROA116 RXW67:RXW116 SHS67:SHS116 SRO67:SRO116 TBK67:TBK116 TLG67:TLG116 TVC67:TVC116 UEY67:UEY116 UOU67:UOU116 UYQ67:UYQ116 VIM67:VIM116 VSI67:VSI116 WCE67:WCE116 WMA67:WMA116 WVW67:WVW116 WMA983056:WMA983156 O65552:O65652 JK65552:JK65652 TG65552:TG65652 ADC65552:ADC65652 AMY65552:AMY65652 AWU65552:AWU65652 BGQ65552:BGQ65652 BQM65552:BQM65652 CAI65552:CAI65652 CKE65552:CKE65652 CUA65552:CUA65652 DDW65552:DDW65652 DNS65552:DNS65652 DXO65552:DXO65652 EHK65552:EHK65652 ERG65552:ERG65652 FBC65552:FBC65652 FKY65552:FKY65652 FUU65552:FUU65652 GEQ65552:GEQ65652 GOM65552:GOM65652 GYI65552:GYI65652 HIE65552:HIE65652 HSA65552:HSA65652 IBW65552:IBW65652 ILS65552:ILS65652 IVO65552:IVO65652 JFK65552:JFK65652 JPG65552:JPG65652 JZC65552:JZC65652 KIY65552:KIY65652 KSU65552:KSU65652 LCQ65552:LCQ65652 LMM65552:LMM65652 LWI65552:LWI65652 MGE65552:MGE65652 MQA65552:MQA65652 MZW65552:MZW65652 NJS65552:NJS65652 NTO65552:NTO65652 ODK65552:ODK65652 ONG65552:ONG65652 OXC65552:OXC65652 PGY65552:PGY65652 PQU65552:PQU65652 QAQ65552:QAQ65652 QKM65552:QKM65652 QUI65552:QUI65652 REE65552:REE65652 ROA65552:ROA65652 RXW65552:RXW65652 SHS65552:SHS65652 SRO65552:SRO65652 TBK65552:TBK65652 TLG65552:TLG65652 TVC65552:TVC65652 UEY65552:UEY65652 UOU65552:UOU65652 UYQ65552:UYQ65652 VIM65552:VIM65652 VSI65552:VSI65652 WCE65552:WCE65652 WMA65552:WMA65652 WVW65552:WVW65652 O131088:O131188 JK131088:JK131188 TG131088:TG131188 ADC131088:ADC131188 AMY131088:AMY131188 AWU131088:AWU131188 BGQ131088:BGQ131188 BQM131088:BQM131188 CAI131088:CAI131188 CKE131088:CKE131188 CUA131088:CUA131188 DDW131088:DDW131188 DNS131088:DNS131188 DXO131088:DXO131188 EHK131088:EHK131188 ERG131088:ERG131188 FBC131088:FBC131188 FKY131088:FKY131188 FUU131088:FUU131188 GEQ131088:GEQ131188 GOM131088:GOM131188 GYI131088:GYI131188 HIE131088:HIE131188 HSA131088:HSA131188 IBW131088:IBW131188 ILS131088:ILS131188 IVO131088:IVO131188 JFK131088:JFK131188 JPG131088:JPG131188 JZC131088:JZC131188 KIY131088:KIY131188 KSU131088:KSU131188 LCQ131088:LCQ131188 LMM131088:LMM131188 LWI131088:LWI131188 MGE131088:MGE131188 MQA131088:MQA131188 MZW131088:MZW131188 NJS131088:NJS131188 NTO131088:NTO131188 ODK131088:ODK131188 ONG131088:ONG131188 OXC131088:OXC131188 PGY131088:PGY131188 PQU131088:PQU131188 QAQ131088:QAQ131188 QKM131088:QKM131188 QUI131088:QUI131188 REE131088:REE131188 ROA131088:ROA131188 RXW131088:RXW131188 SHS131088:SHS131188 SRO131088:SRO131188 TBK131088:TBK131188 TLG131088:TLG131188 TVC131088:TVC131188 UEY131088:UEY131188 UOU131088:UOU131188 UYQ131088:UYQ131188 VIM131088:VIM131188 VSI131088:VSI131188 WCE131088:WCE131188 WMA131088:WMA131188 WVW131088:WVW131188 O196624:O196724 JK196624:JK196724 TG196624:TG196724 ADC196624:ADC196724 AMY196624:AMY196724 AWU196624:AWU196724 BGQ196624:BGQ196724 BQM196624:BQM196724 CAI196624:CAI196724 CKE196624:CKE196724 CUA196624:CUA196724 DDW196624:DDW196724 DNS196624:DNS196724 DXO196624:DXO196724 EHK196624:EHK196724 ERG196624:ERG196724 FBC196624:FBC196724 FKY196624:FKY196724 FUU196624:FUU196724 GEQ196624:GEQ196724 GOM196624:GOM196724 GYI196624:GYI196724 HIE196624:HIE196724 HSA196624:HSA196724 IBW196624:IBW196724 ILS196624:ILS196724 IVO196624:IVO196724 JFK196624:JFK196724 JPG196624:JPG196724 JZC196624:JZC196724 KIY196624:KIY196724 KSU196624:KSU196724 LCQ196624:LCQ196724 LMM196624:LMM196724 LWI196624:LWI196724 MGE196624:MGE196724 MQA196624:MQA196724 MZW196624:MZW196724 NJS196624:NJS196724 NTO196624:NTO196724 ODK196624:ODK196724 ONG196624:ONG196724 OXC196624:OXC196724 PGY196624:PGY196724 PQU196624:PQU196724 QAQ196624:QAQ196724 QKM196624:QKM196724 QUI196624:QUI196724 REE196624:REE196724 ROA196624:ROA196724 RXW196624:RXW196724 SHS196624:SHS196724 SRO196624:SRO196724 TBK196624:TBK196724 TLG196624:TLG196724 TVC196624:TVC196724 UEY196624:UEY196724 UOU196624:UOU196724 UYQ196624:UYQ196724 VIM196624:VIM196724 VSI196624:VSI196724 WCE196624:WCE196724 WMA196624:WMA196724 WVW196624:WVW196724 O262160:O262260 JK262160:JK262260 TG262160:TG262260 ADC262160:ADC262260 AMY262160:AMY262260 AWU262160:AWU262260 BGQ262160:BGQ262260 BQM262160:BQM262260 CAI262160:CAI262260 CKE262160:CKE262260 CUA262160:CUA262260 DDW262160:DDW262260 DNS262160:DNS262260 DXO262160:DXO262260 EHK262160:EHK262260 ERG262160:ERG262260 FBC262160:FBC262260 FKY262160:FKY262260 FUU262160:FUU262260 GEQ262160:GEQ262260 GOM262160:GOM262260 GYI262160:GYI262260 HIE262160:HIE262260 HSA262160:HSA262260 IBW262160:IBW262260 ILS262160:ILS262260 IVO262160:IVO262260 JFK262160:JFK262260 JPG262160:JPG262260 JZC262160:JZC262260 KIY262160:KIY262260 KSU262160:KSU262260 LCQ262160:LCQ262260 LMM262160:LMM262260 LWI262160:LWI262260 MGE262160:MGE262260 MQA262160:MQA262260 MZW262160:MZW262260 NJS262160:NJS262260 NTO262160:NTO262260 ODK262160:ODK262260 ONG262160:ONG262260 OXC262160:OXC262260 PGY262160:PGY262260 PQU262160:PQU262260 QAQ262160:QAQ262260 QKM262160:QKM262260 QUI262160:QUI262260 REE262160:REE262260 ROA262160:ROA262260 RXW262160:RXW262260 SHS262160:SHS262260 SRO262160:SRO262260 TBK262160:TBK262260 TLG262160:TLG262260 TVC262160:TVC262260 UEY262160:UEY262260 UOU262160:UOU262260 UYQ262160:UYQ262260 VIM262160:VIM262260 VSI262160:VSI262260 WCE262160:WCE262260 WMA262160:WMA262260 WVW262160:WVW262260 O327696:O327796 JK327696:JK327796 TG327696:TG327796 ADC327696:ADC327796 AMY327696:AMY327796 AWU327696:AWU327796 BGQ327696:BGQ327796 BQM327696:BQM327796 CAI327696:CAI327796 CKE327696:CKE327796 CUA327696:CUA327796 DDW327696:DDW327796 DNS327696:DNS327796 DXO327696:DXO327796 EHK327696:EHK327796 ERG327696:ERG327796 FBC327696:FBC327796 FKY327696:FKY327796 FUU327696:FUU327796 GEQ327696:GEQ327796 GOM327696:GOM327796 GYI327696:GYI327796 HIE327696:HIE327796 HSA327696:HSA327796 IBW327696:IBW327796 ILS327696:ILS327796 IVO327696:IVO327796 JFK327696:JFK327796 JPG327696:JPG327796 JZC327696:JZC327796 KIY327696:KIY327796 KSU327696:KSU327796 LCQ327696:LCQ327796 LMM327696:LMM327796 LWI327696:LWI327796 MGE327696:MGE327796 MQA327696:MQA327796 MZW327696:MZW327796 NJS327696:NJS327796 NTO327696:NTO327796 ODK327696:ODK327796 ONG327696:ONG327796 OXC327696:OXC327796 PGY327696:PGY327796 PQU327696:PQU327796 QAQ327696:QAQ327796 QKM327696:QKM327796 QUI327696:QUI327796 REE327696:REE327796 ROA327696:ROA327796 RXW327696:RXW327796 SHS327696:SHS327796 SRO327696:SRO327796 TBK327696:TBK327796 TLG327696:TLG327796 TVC327696:TVC327796 UEY327696:UEY327796 UOU327696:UOU327796 UYQ327696:UYQ327796 VIM327696:VIM327796 VSI327696:VSI327796 WCE327696:WCE327796 WMA327696:WMA327796 WVW327696:WVW327796 O393232:O393332 JK393232:JK393332 TG393232:TG393332 ADC393232:ADC393332 AMY393232:AMY393332 AWU393232:AWU393332 BGQ393232:BGQ393332 BQM393232:BQM393332 CAI393232:CAI393332 CKE393232:CKE393332 CUA393232:CUA393332 DDW393232:DDW393332 DNS393232:DNS393332 DXO393232:DXO393332 EHK393232:EHK393332 ERG393232:ERG393332 FBC393232:FBC393332 FKY393232:FKY393332 FUU393232:FUU393332 GEQ393232:GEQ393332 GOM393232:GOM393332 GYI393232:GYI393332 HIE393232:HIE393332 HSA393232:HSA393332 IBW393232:IBW393332 ILS393232:ILS393332 IVO393232:IVO393332 JFK393232:JFK393332 JPG393232:JPG393332 JZC393232:JZC393332 KIY393232:KIY393332 KSU393232:KSU393332 LCQ393232:LCQ393332 LMM393232:LMM393332 LWI393232:LWI393332 MGE393232:MGE393332 MQA393232:MQA393332 MZW393232:MZW393332 NJS393232:NJS393332 NTO393232:NTO393332 ODK393232:ODK393332 ONG393232:ONG393332 OXC393232:OXC393332 PGY393232:PGY393332 PQU393232:PQU393332 QAQ393232:QAQ393332 QKM393232:QKM393332 QUI393232:QUI393332 REE393232:REE393332 ROA393232:ROA393332 RXW393232:RXW393332 SHS393232:SHS393332 SRO393232:SRO393332 TBK393232:TBK393332 TLG393232:TLG393332 TVC393232:TVC393332 UEY393232:UEY393332 UOU393232:UOU393332 UYQ393232:UYQ393332 VIM393232:VIM393332 VSI393232:VSI393332 WCE393232:WCE393332 WMA393232:WMA393332 WVW393232:WVW393332 O458768:O458868 JK458768:JK458868 TG458768:TG458868 ADC458768:ADC458868 AMY458768:AMY458868 AWU458768:AWU458868 BGQ458768:BGQ458868 BQM458768:BQM458868 CAI458768:CAI458868 CKE458768:CKE458868 CUA458768:CUA458868 DDW458768:DDW458868 DNS458768:DNS458868 DXO458768:DXO458868 EHK458768:EHK458868 ERG458768:ERG458868 FBC458768:FBC458868 FKY458768:FKY458868 FUU458768:FUU458868 GEQ458768:GEQ458868 GOM458768:GOM458868 GYI458768:GYI458868 HIE458768:HIE458868 HSA458768:HSA458868 IBW458768:IBW458868 ILS458768:ILS458868 IVO458768:IVO458868 JFK458768:JFK458868 JPG458768:JPG458868 JZC458768:JZC458868 KIY458768:KIY458868 KSU458768:KSU458868 LCQ458768:LCQ458868 LMM458768:LMM458868 LWI458768:LWI458868 MGE458768:MGE458868 MQA458768:MQA458868 MZW458768:MZW458868 NJS458768:NJS458868 NTO458768:NTO458868 ODK458768:ODK458868 ONG458768:ONG458868 OXC458768:OXC458868 PGY458768:PGY458868 PQU458768:PQU458868 QAQ458768:QAQ458868 QKM458768:QKM458868 QUI458768:QUI458868 REE458768:REE458868 ROA458768:ROA458868 RXW458768:RXW458868 SHS458768:SHS458868 SRO458768:SRO458868 TBK458768:TBK458868 TLG458768:TLG458868 TVC458768:TVC458868 UEY458768:UEY458868 UOU458768:UOU458868 UYQ458768:UYQ458868 VIM458768:VIM458868 VSI458768:VSI458868 WCE458768:WCE458868 WMA458768:WMA458868 WVW458768:WVW458868 O524304:O524404 JK524304:JK524404 TG524304:TG524404 ADC524304:ADC524404 AMY524304:AMY524404 AWU524304:AWU524404 BGQ524304:BGQ524404 BQM524304:BQM524404 CAI524304:CAI524404 CKE524304:CKE524404 CUA524304:CUA524404 DDW524304:DDW524404 DNS524304:DNS524404 DXO524304:DXO524404 EHK524304:EHK524404 ERG524304:ERG524404 FBC524304:FBC524404 FKY524304:FKY524404 FUU524304:FUU524404 GEQ524304:GEQ524404 GOM524304:GOM524404 GYI524304:GYI524404 HIE524304:HIE524404 HSA524304:HSA524404 IBW524304:IBW524404 ILS524304:ILS524404 IVO524304:IVO524404 JFK524304:JFK524404 JPG524304:JPG524404 JZC524304:JZC524404 KIY524304:KIY524404 KSU524304:KSU524404 LCQ524304:LCQ524404 LMM524304:LMM524404 LWI524304:LWI524404 MGE524304:MGE524404 MQA524304:MQA524404 MZW524304:MZW524404 NJS524304:NJS524404 NTO524304:NTO524404 ODK524304:ODK524404 ONG524304:ONG524404 OXC524304:OXC524404 PGY524304:PGY524404 PQU524304:PQU524404 QAQ524304:QAQ524404 QKM524304:QKM524404 QUI524304:QUI524404 REE524304:REE524404 ROA524304:ROA524404 RXW524304:RXW524404 SHS524304:SHS524404 SRO524304:SRO524404 TBK524304:TBK524404 TLG524304:TLG524404 TVC524304:TVC524404 UEY524304:UEY524404 UOU524304:UOU524404 UYQ524304:UYQ524404 VIM524304:VIM524404 VSI524304:VSI524404 WCE524304:WCE524404 WMA524304:WMA524404 WVW524304:WVW524404 O589840:O589940 JK589840:JK589940 TG589840:TG589940 ADC589840:ADC589940 AMY589840:AMY589940 AWU589840:AWU589940 BGQ589840:BGQ589940 BQM589840:BQM589940 CAI589840:CAI589940 CKE589840:CKE589940 CUA589840:CUA589940 DDW589840:DDW589940 DNS589840:DNS589940 DXO589840:DXO589940 EHK589840:EHK589940 ERG589840:ERG589940 FBC589840:FBC589940 FKY589840:FKY589940 FUU589840:FUU589940 GEQ589840:GEQ589940 GOM589840:GOM589940 GYI589840:GYI589940 HIE589840:HIE589940 HSA589840:HSA589940 IBW589840:IBW589940 ILS589840:ILS589940 IVO589840:IVO589940 JFK589840:JFK589940 JPG589840:JPG589940 JZC589840:JZC589940 KIY589840:KIY589940 KSU589840:KSU589940 LCQ589840:LCQ589940 LMM589840:LMM589940 LWI589840:LWI589940 MGE589840:MGE589940 MQA589840:MQA589940 MZW589840:MZW589940 NJS589840:NJS589940 NTO589840:NTO589940 ODK589840:ODK589940 ONG589840:ONG589940 OXC589840:OXC589940 PGY589840:PGY589940 PQU589840:PQU589940 QAQ589840:QAQ589940 QKM589840:QKM589940 QUI589840:QUI589940 REE589840:REE589940 ROA589840:ROA589940 RXW589840:RXW589940 SHS589840:SHS589940 SRO589840:SRO589940 TBK589840:TBK589940 TLG589840:TLG589940 TVC589840:TVC589940 UEY589840:UEY589940 UOU589840:UOU589940 UYQ589840:UYQ589940 VIM589840:VIM589940 VSI589840:VSI589940 WCE589840:WCE589940 WMA589840:WMA589940 WVW589840:WVW589940 O655376:O655476 JK655376:JK655476 TG655376:TG655476 ADC655376:ADC655476 AMY655376:AMY655476 AWU655376:AWU655476 BGQ655376:BGQ655476 BQM655376:BQM655476 CAI655376:CAI655476 CKE655376:CKE655476 CUA655376:CUA655476 DDW655376:DDW655476 DNS655376:DNS655476 DXO655376:DXO655476 EHK655376:EHK655476 ERG655376:ERG655476 FBC655376:FBC655476 FKY655376:FKY655476 FUU655376:FUU655476 GEQ655376:GEQ655476 GOM655376:GOM655476 GYI655376:GYI655476 HIE655376:HIE655476 HSA655376:HSA655476 IBW655376:IBW655476 ILS655376:ILS655476 IVO655376:IVO655476 JFK655376:JFK655476 JPG655376:JPG655476 JZC655376:JZC655476 KIY655376:KIY655476 KSU655376:KSU655476 LCQ655376:LCQ655476 LMM655376:LMM655476 LWI655376:LWI655476 MGE655376:MGE655476 MQA655376:MQA655476 MZW655376:MZW655476 NJS655376:NJS655476 NTO655376:NTO655476 ODK655376:ODK655476 ONG655376:ONG655476 OXC655376:OXC655476 PGY655376:PGY655476 PQU655376:PQU655476 QAQ655376:QAQ655476 QKM655376:QKM655476 QUI655376:QUI655476 REE655376:REE655476 ROA655376:ROA655476 RXW655376:RXW655476 SHS655376:SHS655476 SRO655376:SRO655476 TBK655376:TBK655476 TLG655376:TLG655476 TVC655376:TVC655476 UEY655376:UEY655476 UOU655376:UOU655476 UYQ655376:UYQ655476 VIM655376:VIM655476 VSI655376:VSI655476 WCE655376:WCE655476 WMA655376:WMA655476 WVW655376:WVW655476 O720912:O721012 JK720912:JK721012 TG720912:TG721012 ADC720912:ADC721012 AMY720912:AMY721012 AWU720912:AWU721012 BGQ720912:BGQ721012 BQM720912:BQM721012 CAI720912:CAI721012 CKE720912:CKE721012 CUA720912:CUA721012 DDW720912:DDW721012 DNS720912:DNS721012 DXO720912:DXO721012 EHK720912:EHK721012 ERG720912:ERG721012 FBC720912:FBC721012 FKY720912:FKY721012 FUU720912:FUU721012 GEQ720912:GEQ721012 GOM720912:GOM721012 GYI720912:GYI721012 HIE720912:HIE721012 HSA720912:HSA721012 IBW720912:IBW721012 ILS720912:ILS721012 IVO720912:IVO721012 JFK720912:JFK721012 JPG720912:JPG721012 JZC720912:JZC721012 KIY720912:KIY721012 KSU720912:KSU721012 LCQ720912:LCQ721012 LMM720912:LMM721012 LWI720912:LWI721012 MGE720912:MGE721012 MQA720912:MQA721012 MZW720912:MZW721012 NJS720912:NJS721012 NTO720912:NTO721012 ODK720912:ODK721012 ONG720912:ONG721012 OXC720912:OXC721012 PGY720912:PGY721012 PQU720912:PQU721012 QAQ720912:QAQ721012 QKM720912:QKM721012 QUI720912:QUI721012 REE720912:REE721012 ROA720912:ROA721012 RXW720912:RXW721012 SHS720912:SHS721012 SRO720912:SRO721012 TBK720912:TBK721012 TLG720912:TLG721012 TVC720912:TVC721012 UEY720912:UEY721012 UOU720912:UOU721012 UYQ720912:UYQ721012 VIM720912:VIM721012 VSI720912:VSI721012 WCE720912:WCE721012 WMA720912:WMA721012 WVW720912:WVW721012 O786448:O786548 JK786448:JK786548 TG786448:TG786548 ADC786448:ADC786548 AMY786448:AMY786548 AWU786448:AWU786548 BGQ786448:BGQ786548 BQM786448:BQM786548 CAI786448:CAI786548 CKE786448:CKE786548 CUA786448:CUA786548 DDW786448:DDW786548 DNS786448:DNS786548 DXO786448:DXO786548 EHK786448:EHK786548 ERG786448:ERG786548 FBC786448:FBC786548 FKY786448:FKY786548 FUU786448:FUU786548 GEQ786448:GEQ786548 GOM786448:GOM786548 GYI786448:GYI786548 HIE786448:HIE786548 HSA786448:HSA786548 IBW786448:IBW786548 ILS786448:ILS786548 IVO786448:IVO786548 JFK786448:JFK786548 JPG786448:JPG786548 JZC786448:JZC786548 KIY786448:KIY786548 KSU786448:KSU786548 LCQ786448:LCQ786548 LMM786448:LMM786548 LWI786448:LWI786548 MGE786448:MGE786548 MQA786448:MQA786548 MZW786448:MZW786548 NJS786448:NJS786548 NTO786448:NTO786548 ODK786448:ODK786548 ONG786448:ONG786548 OXC786448:OXC786548 PGY786448:PGY786548 PQU786448:PQU786548 QAQ786448:QAQ786548 QKM786448:QKM786548 QUI786448:QUI786548 REE786448:REE786548 ROA786448:ROA786548 RXW786448:RXW786548 SHS786448:SHS786548 SRO786448:SRO786548 TBK786448:TBK786548 TLG786448:TLG786548 TVC786448:TVC786548 UEY786448:UEY786548 UOU786448:UOU786548 UYQ786448:UYQ786548 VIM786448:VIM786548 VSI786448:VSI786548 WCE786448:WCE786548 WMA786448:WMA786548 WVW786448:WVW786548 O851984:O852084 JK851984:JK852084 TG851984:TG852084 ADC851984:ADC852084 AMY851984:AMY852084 AWU851984:AWU852084 BGQ851984:BGQ852084 BQM851984:BQM852084 CAI851984:CAI852084 CKE851984:CKE852084 CUA851984:CUA852084 DDW851984:DDW852084 DNS851984:DNS852084 DXO851984:DXO852084 EHK851984:EHK852084 ERG851984:ERG852084 FBC851984:FBC852084 FKY851984:FKY852084 FUU851984:FUU852084 GEQ851984:GEQ852084 GOM851984:GOM852084 GYI851984:GYI852084 HIE851984:HIE852084 HSA851984:HSA852084 IBW851984:IBW852084 ILS851984:ILS852084 IVO851984:IVO852084 JFK851984:JFK852084 JPG851984:JPG852084 JZC851984:JZC852084 KIY851984:KIY852084 KSU851984:KSU852084 LCQ851984:LCQ852084 LMM851984:LMM852084 LWI851984:LWI852084 MGE851984:MGE852084 MQA851984:MQA852084 MZW851984:MZW852084 NJS851984:NJS852084 NTO851984:NTO852084 ODK851984:ODK852084 ONG851984:ONG852084 OXC851984:OXC852084 PGY851984:PGY852084 PQU851984:PQU852084 QAQ851984:QAQ852084 QKM851984:QKM852084 QUI851984:QUI852084 REE851984:REE852084 ROA851984:ROA852084 RXW851984:RXW852084 SHS851984:SHS852084 SRO851984:SRO852084 TBK851984:TBK852084 TLG851984:TLG852084 TVC851984:TVC852084 UEY851984:UEY852084 UOU851984:UOU852084 UYQ851984:UYQ852084 VIM851984:VIM852084 VSI851984:VSI852084 WCE851984:WCE852084 WMA851984:WMA852084 WVW851984:WVW852084 O917520:O917620 JK917520:JK917620 TG917520:TG917620 ADC917520:ADC917620 AMY917520:AMY917620 AWU917520:AWU917620 BGQ917520:BGQ917620 BQM917520:BQM917620 CAI917520:CAI917620 CKE917520:CKE917620 CUA917520:CUA917620 DDW917520:DDW917620 DNS917520:DNS917620 DXO917520:DXO917620 EHK917520:EHK917620 ERG917520:ERG917620 FBC917520:FBC917620 FKY917520:FKY917620 FUU917520:FUU917620 GEQ917520:GEQ917620 GOM917520:GOM917620 GYI917520:GYI917620 HIE917520:HIE917620 HSA917520:HSA917620 IBW917520:IBW917620 ILS917520:ILS917620 IVO917520:IVO917620 JFK917520:JFK917620 JPG917520:JPG917620 JZC917520:JZC917620 KIY917520:KIY917620 KSU917520:KSU917620 LCQ917520:LCQ917620 LMM917520:LMM917620 LWI917520:LWI917620 MGE917520:MGE917620 MQA917520:MQA917620 MZW917520:MZW917620 NJS917520:NJS917620 NTO917520:NTO917620 ODK917520:ODK917620 ONG917520:ONG917620 OXC917520:OXC917620 PGY917520:PGY917620 PQU917520:PQU917620 QAQ917520:QAQ917620 QKM917520:QKM917620 QUI917520:QUI917620 REE917520:REE917620 ROA917520:ROA917620 RXW917520:RXW917620 SHS917520:SHS917620 SRO917520:SRO917620 TBK917520:TBK917620 TLG917520:TLG917620 TVC917520:TVC917620 UEY917520:UEY917620 UOU917520:UOU917620 UYQ917520:UYQ917620 VIM917520:VIM917620 VSI917520:VSI917620 WCE917520:WCE917620 WMA917520:WMA917620 WVW917520:WVW917620 O983056:O983156 JK983056:JK983156 TG983056:TG983156 ADC983056:ADC983156 AMY983056:AMY983156 AWU983056:AWU983156 BGQ983056:BGQ983156 BQM983056:BQM983156 CAI983056:CAI983156 CKE983056:CKE983156 CUA983056:CUA983156 DDW983056:DDW983156 DNS983056:DNS983156 DXO983056:DXO983156 EHK983056:EHK983156 ERG983056:ERG983156 FBC983056:FBC983156 FKY983056:FKY983156 FUU983056:FUU983156 GEQ983056:GEQ983156 GOM983056:GOM983156 GYI983056:GYI983156 HIE983056:HIE983156 HSA983056:HSA983156 IBW983056:IBW983156 ILS983056:ILS983156 IVO983056:IVO983156 JFK983056:JFK983156 JPG983056:JPG983156 JZC983056:JZC983156 KIY983056:KIY983156 KSU983056:KSU983156 LCQ983056:LCQ983156 LMM983056:LMM983156 LWI983056:LWI983156 MGE983056:MGE983156 MQA983056:MQA983156 MZW983056:MZW983156 NJS983056:NJS983156 NTO983056:NTO983156 ODK983056:ODK983156 ONG983056:ONG983156 OXC983056:OXC983156 PGY983056:PGY983156 PQU983056:PQU983156 QAQ983056:QAQ983156 QKM983056:QKM983156 QUI983056:QUI983156 REE983056:REE983156 ROA983056:ROA983156 RXW983056:RXW983156 SHS983056:SHS983156 SRO983056:SRO983156 TBK983056:TBK983156 TLG983056:TLG983156 TVC983056:TVC983156 UEY983056:UEY983156 UOU983056:UOU983156 UYQ983056:UYQ983156 VIM983056:VIM983156 VSI983056:VSI983156 WCE983056:WCE983156 WVW12:WVW65 WMA12:WMA65 WCE12:WCE65 VSI12:VSI65 VIM12:VIM65 UYQ12:UYQ65 UOU12:UOU65 UEY12:UEY65 TVC12:TVC65 TLG12:TLG65 TBK12:TBK65 SRO12:SRO65 SHS12:SHS65 RXW12:RXW65 ROA12:ROA65 REE12:REE65 QUI12:QUI65 QKM12:QKM65 QAQ12:QAQ65 PQU12:PQU65 PGY12:PGY65 OXC12:OXC65 ONG12:ONG65 ODK12:ODK65 NTO12:NTO65 NJS12:NJS65 MZW12:MZW65 MQA12:MQA65 MGE12:MGE65 LWI12:LWI65 LMM12:LMM65 LCQ12:LCQ65 KSU12:KSU65 KIY12:KIY65 JZC12:JZC65 JPG12:JPG65 JFK12:JFK65 IVO12:IVO65 ILS12:ILS65 IBW12:IBW65 HSA12:HSA65 HIE12:HIE65 GYI12:GYI65 GOM12:GOM65 GEQ12:GEQ65 FUU12:FUU65 FKY12:FKY65 FBC12:FBC65 ERG12:ERG65 EHK12:EHK65 DXO12:DXO65 DNS12:DNS65 DDW12:DDW65 CUA12:CUA65 CKE12:CKE65 CAI12:CAI65 BQM12:BQM65 BGQ12:BGQ65 AWU12:AWU65 AMY12:AMY65 ADC12:ADC65 TG12:TG65 JK12:JK65 JK67:JK116" xr:uid="{031085FF-933F-46C6-9942-14C484D32A9F}">
      <formula1>$O$10</formula1>
    </dataValidation>
    <dataValidation type="whole" operator="lessThanOrEqual" allowBlank="1" showInputMessage="1" showErrorMessage="1" error="INPUT NUMBER LESS THAN OR EQUAL THE HIGHEST POSSIBLE SCORE" prompt="Input Raw Score" sqref="WVV983056:WVV983156 TF67:TF116 ADB67:ADB116 AMX67:AMX116 AWT67:AWT116 BGP67:BGP116 BQL67:BQL116 CAH67:CAH116 CKD67:CKD116 CTZ67:CTZ116 DDV67:DDV116 DNR67:DNR116 DXN67:DXN116 EHJ67:EHJ116 ERF67:ERF116 FBB67:FBB116 FKX67:FKX116 FUT67:FUT116 GEP67:GEP116 GOL67:GOL116 GYH67:GYH116 HID67:HID116 HRZ67:HRZ116 IBV67:IBV116 ILR67:ILR116 IVN67:IVN116 JFJ67:JFJ116 JPF67:JPF116 JZB67:JZB116 KIX67:KIX116 KST67:KST116 LCP67:LCP116 LML67:LML116 LWH67:LWH116 MGD67:MGD116 MPZ67:MPZ116 MZV67:MZV116 NJR67:NJR116 NTN67:NTN116 ODJ67:ODJ116 ONF67:ONF116 OXB67:OXB116 PGX67:PGX116 PQT67:PQT116 QAP67:QAP116 QKL67:QKL116 QUH67:QUH116 RED67:RED116 RNZ67:RNZ116 RXV67:RXV116 SHR67:SHR116 SRN67:SRN116 TBJ67:TBJ116 TLF67:TLF116 TVB67:TVB116 UEX67:UEX116 UOT67:UOT116 UYP67:UYP116 VIL67:VIL116 VSH67:VSH116 WCD67:WCD116 WLZ67:WLZ116 WVV67:WVV116 WLZ983056:WLZ983156 N65552:N65652 JJ65552:JJ65652 TF65552:TF65652 ADB65552:ADB65652 AMX65552:AMX65652 AWT65552:AWT65652 BGP65552:BGP65652 BQL65552:BQL65652 CAH65552:CAH65652 CKD65552:CKD65652 CTZ65552:CTZ65652 DDV65552:DDV65652 DNR65552:DNR65652 DXN65552:DXN65652 EHJ65552:EHJ65652 ERF65552:ERF65652 FBB65552:FBB65652 FKX65552:FKX65652 FUT65552:FUT65652 GEP65552:GEP65652 GOL65552:GOL65652 GYH65552:GYH65652 HID65552:HID65652 HRZ65552:HRZ65652 IBV65552:IBV65652 ILR65552:ILR65652 IVN65552:IVN65652 JFJ65552:JFJ65652 JPF65552:JPF65652 JZB65552:JZB65652 KIX65552:KIX65652 KST65552:KST65652 LCP65552:LCP65652 LML65552:LML65652 LWH65552:LWH65652 MGD65552:MGD65652 MPZ65552:MPZ65652 MZV65552:MZV65652 NJR65552:NJR65652 NTN65552:NTN65652 ODJ65552:ODJ65652 ONF65552:ONF65652 OXB65552:OXB65652 PGX65552:PGX65652 PQT65552:PQT65652 QAP65552:QAP65652 QKL65552:QKL65652 QUH65552:QUH65652 RED65552:RED65652 RNZ65552:RNZ65652 RXV65552:RXV65652 SHR65552:SHR65652 SRN65552:SRN65652 TBJ65552:TBJ65652 TLF65552:TLF65652 TVB65552:TVB65652 UEX65552:UEX65652 UOT65552:UOT65652 UYP65552:UYP65652 VIL65552:VIL65652 VSH65552:VSH65652 WCD65552:WCD65652 WLZ65552:WLZ65652 WVV65552:WVV65652 N131088:N131188 JJ131088:JJ131188 TF131088:TF131188 ADB131088:ADB131188 AMX131088:AMX131188 AWT131088:AWT131188 BGP131088:BGP131188 BQL131088:BQL131188 CAH131088:CAH131188 CKD131088:CKD131188 CTZ131088:CTZ131188 DDV131088:DDV131188 DNR131088:DNR131188 DXN131088:DXN131188 EHJ131088:EHJ131188 ERF131088:ERF131188 FBB131088:FBB131188 FKX131088:FKX131188 FUT131088:FUT131188 GEP131088:GEP131188 GOL131088:GOL131188 GYH131088:GYH131188 HID131088:HID131188 HRZ131088:HRZ131188 IBV131088:IBV131188 ILR131088:ILR131188 IVN131088:IVN131188 JFJ131088:JFJ131188 JPF131088:JPF131188 JZB131088:JZB131188 KIX131088:KIX131188 KST131088:KST131188 LCP131088:LCP131188 LML131088:LML131188 LWH131088:LWH131188 MGD131088:MGD131188 MPZ131088:MPZ131188 MZV131088:MZV131188 NJR131088:NJR131188 NTN131088:NTN131188 ODJ131088:ODJ131188 ONF131088:ONF131188 OXB131088:OXB131188 PGX131088:PGX131188 PQT131088:PQT131188 QAP131088:QAP131188 QKL131088:QKL131188 QUH131088:QUH131188 RED131088:RED131188 RNZ131088:RNZ131188 RXV131088:RXV131188 SHR131088:SHR131188 SRN131088:SRN131188 TBJ131088:TBJ131188 TLF131088:TLF131188 TVB131088:TVB131188 UEX131088:UEX131188 UOT131088:UOT131188 UYP131088:UYP131188 VIL131088:VIL131188 VSH131088:VSH131188 WCD131088:WCD131188 WLZ131088:WLZ131188 WVV131088:WVV131188 N196624:N196724 JJ196624:JJ196724 TF196624:TF196724 ADB196624:ADB196724 AMX196624:AMX196724 AWT196624:AWT196724 BGP196624:BGP196724 BQL196624:BQL196724 CAH196624:CAH196724 CKD196624:CKD196724 CTZ196624:CTZ196724 DDV196624:DDV196724 DNR196624:DNR196724 DXN196624:DXN196724 EHJ196624:EHJ196724 ERF196624:ERF196724 FBB196624:FBB196724 FKX196624:FKX196724 FUT196624:FUT196724 GEP196624:GEP196724 GOL196624:GOL196724 GYH196624:GYH196724 HID196624:HID196724 HRZ196624:HRZ196724 IBV196624:IBV196724 ILR196624:ILR196724 IVN196624:IVN196724 JFJ196624:JFJ196724 JPF196624:JPF196724 JZB196624:JZB196724 KIX196624:KIX196724 KST196624:KST196724 LCP196624:LCP196724 LML196624:LML196724 LWH196624:LWH196724 MGD196624:MGD196724 MPZ196624:MPZ196724 MZV196624:MZV196724 NJR196624:NJR196724 NTN196624:NTN196724 ODJ196624:ODJ196724 ONF196624:ONF196724 OXB196624:OXB196724 PGX196624:PGX196724 PQT196624:PQT196724 QAP196624:QAP196724 QKL196624:QKL196724 QUH196624:QUH196724 RED196624:RED196724 RNZ196624:RNZ196724 RXV196624:RXV196724 SHR196624:SHR196724 SRN196624:SRN196724 TBJ196624:TBJ196724 TLF196624:TLF196724 TVB196624:TVB196724 UEX196624:UEX196724 UOT196624:UOT196724 UYP196624:UYP196724 VIL196624:VIL196724 VSH196624:VSH196724 WCD196624:WCD196724 WLZ196624:WLZ196724 WVV196624:WVV196724 N262160:N262260 JJ262160:JJ262260 TF262160:TF262260 ADB262160:ADB262260 AMX262160:AMX262260 AWT262160:AWT262260 BGP262160:BGP262260 BQL262160:BQL262260 CAH262160:CAH262260 CKD262160:CKD262260 CTZ262160:CTZ262260 DDV262160:DDV262260 DNR262160:DNR262260 DXN262160:DXN262260 EHJ262160:EHJ262260 ERF262160:ERF262260 FBB262160:FBB262260 FKX262160:FKX262260 FUT262160:FUT262260 GEP262160:GEP262260 GOL262160:GOL262260 GYH262160:GYH262260 HID262160:HID262260 HRZ262160:HRZ262260 IBV262160:IBV262260 ILR262160:ILR262260 IVN262160:IVN262260 JFJ262160:JFJ262260 JPF262160:JPF262260 JZB262160:JZB262260 KIX262160:KIX262260 KST262160:KST262260 LCP262160:LCP262260 LML262160:LML262260 LWH262160:LWH262260 MGD262160:MGD262260 MPZ262160:MPZ262260 MZV262160:MZV262260 NJR262160:NJR262260 NTN262160:NTN262260 ODJ262160:ODJ262260 ONF262160:ONF262260 OXB262160:OXB262260 PGX262160:PGX262260 PQT262160:PQT262260 QAP262160:QAP262260 QKL262160:QKL262260 QUH262160:QUH262260 RED262160:RED262260 RNZ262160:RNZ262260 RXV262160:RXV262260 SHR262160:SHR262260 SRN262160:SRN262260 TBJ262160:TBJ262260 TLF262160:TLF262260 TVB262160:TVB262260 UEX262160:UEX262260 UOT262160:UOT262260 UYP262160:UYP262260 VIL262160:VIL262260 VSH262160:VSH262260 WCD262160:WCD262260 WLZ262160:WLZ262260 WVV262160:WVV262260 N327696:N327796 JJ327696:JJ327796 TF327696:TF327796 ADB327696:ADB327796 AMX327696:AMX327796 AWT327696:AWT327796 BGP327696:BGP327796 BQL327696:BQL327796 CAH327696:CAH327796 CKD327696:CKD327796 CTZ327696:CTZ327796 DDV327696:DDV327796 DNR327696:DNR327796 DXN327696:DXN327796 EHJ327696:EHJ327796 ERF327696:ERF327796 FBB327696:FBB327796 FKX327696:FKX327796 FUT327696:FUT327796 GEP327696:GEP327796 GOL327696:GOL327796 GYH327696:GYH327796 HID327696:HID327796 HRZ327696:HRZ327796 IBV327696:IBV327796 ILR327696:ILR327796 IVN327696:IVN327796 JFJ327696:JFJ327796 JPF327696:JPF327796 JZB327696:JZB327796 KIX327696:KIX327796 KST327696:KST327796 LCP327696:LCP327796 LML327696:LML327796 LWH327696:LWH327796 MGD327696:MGD327796 MPZ327696:MPZ327796 MZV327696:MZV327796 NJR327696:NJR327796 NTN327696:NTN327796 ODJ327696:ODJ327796 ONF327696:ONF327796 OXB327696:OXB327796 PGX327696:PGX327796 PQT327696:PQT327796 QAP327696:QAP327796 QKL327696:QKL327796 QUH327696:QUH327796 RED327696:RED327796 RNZ327696:RNZ327796 RXV327696:RXV327796 SHR327696:SHR327796 SRN327696:SRN327796 TBJ327696:TBJ327796 TLF327696:TLF327796 TVB327696:TVB327796 UEX327696:UEX327796 UOT327696:UOT327796 UYP327696:UYP327796 VIL327696:VIL327796 VSH327696:VSH327796 WCD327696:WCD327796 WLZ327696:WLZ327796 WVV327696:WVV327796 N393232:N393332 JJ393232:JJ393332 TF393232:TF393332 ADB393232:ADB393332 AMX393232:AMX393332 AWT393232:AWT393332 BGP393232:BGP393332 BQL393232:BQL393332 CAH393232:CAH393332 CKD393232:CKD393332 CTZ393232:CTZ393332 DDV393232:DDV393332 DNR393232:DNR393332 DXN393232:DXN393332 EHJ393232:EHJ393332 ERF393232:ERF393332 FBB393232:FBB393332 FKX393232:FKX393332 FUT393232:FUT393332 GEP393232:GEP393332 GOL393232:GOL393332 GYH393232:GYH393332 HID393232:HID393332 HRZ393232:HRZ393332 IBV393232:IBV393332 ILR393232:ILR393332 IVN393232:IVN393332 JFJ393232:JFJ393332 JPF393232:JPF393332 JZB393232:JZB393332 KIX393232:KIX393332 KST393232:KST393332 LCP393232:LCP393332 LML393232:LML393332 LWH393232:LWH393332 MGD393232:MGD393332 MPZ393232:MPZ393332 MZV393232:MZV393332 NJR393232:NJR393332 NTN393232:NTN393332 ODJ393232:ODJ393332 ONF393232:ONF393332 OXB393232:OXB393332 PGX393232:PGX393332 PQT393232:PQT393332 QAP393232:QAP393332 QKL393232:QKL393332 QUH393232:QUH393332 RED393232:RED393332 RNZ393232:RNZ393332 RXV393232:RXV393332 SHR393232:SHR393332 SRN393232:SRN393332 TBJ393232:TBJ393332 TLF393232:TLF393332 TVB393232:TVB393332 UEX393232:UEX393332 UOT393232:UOT393332 UYP393232:UYP393332 VIL393232:VIL393332 VSH393232:VSH393332 WCD393232:WCD393332 WLZ393232:WLZ393332 WVV393232:WVV393332 N458768:N458868 JJ458768:JJ458868 TF458768:TF458868 ADB458768:ADB458868 AMX458768:AMX458868 AWT458768:AWT458868 BGP458768:BGP458868 BQL458768:BQL458868 CAH458768:CAH458868 CKD458768:CKD458868 CTZ458768:CTZ458868 DDV458768:DDV458868 DNR458768:DNR458868 DXN458768:DXN458868 EHJ458768:EHJ458868 ERF458768:ERF458868 FBB458768:FBB458868 FKX458768:FKX458868 FUT458768:FUT458868 GEP458768:GEP458868 GOL458768:GOL458868 GYH458768:GYH458868 HID458768:HID458868 HRZ458768:HRZ458868 IBV458768:IBV458868 ILR458768:ILR458868 IVN458768:IVN458868 JFJ458768:JFJ458868 JPF458768:JPF458868 JZB458768:JZB458868 KIX458768:KIX458868 KST458768:KST458868 LCP458768:LCP458868 LML458768:LML458868 LWH458768:LWH458868 MGD458768:MGD458868 MPZ458768:MPZ458868 MZV458768:MZV458868 NJR458768:NJR458868 NTN458768:NTN458868 ODJ458768:ODJ458868 ONF458768:ONF458868 OXB458768:OXB458868 PGX458768:PGX458868 PQT458768:PQT458868 QAP458768:QAP458868 QKL458768:QKL458868 QUH458768:QUH458868 RED458768:RED458868 RNZ458768:RNZ458868 RXV458768:RXV458868 SHR458768:SHR458868 SRN458768:SRN458868 TBJ458768:TBJ458868 TLF458768:TLF458868 TVB458768:TVB458868 UEX458768:UEX458868 UOT458768:UOT458868 UYP458768:UYP458868 VIL458768:VIL458868 VSH458768:VSH458868 WCD458768:WCD458868 WLZ458768:WLZ458868 WVV458768:WVV458868 N524304:N524404 JJ524304:JJ524404 TF524304:TF524404 ADB524304:ADB524404 AMX524304:AMX524404 AWT524304:AWT524404 BGP524304:BGP524404 BQL524304:BQL524404 CAH524304:CAH524404 CKD524304:CKD524404 CTZ524304:CTZ524404 DDV524304:DDV524404 DNR524304:DNR524404 DXN524304:DXN524404 EHJ524304:EHJ524404 ERF524304:ERF524404 FBB524304:FBB524404 FKX524304:FKX524404 FUT524304:FUT524404 GEP524304:GEP524404 GOL524304:GOL524404 GYH524304:GYH524404 HID524304:HID524404 HRZ524304:HRZ524404 IBV524304:IBV524404 ILR524304:ILR524404 IVN524304:IVN524404 JFJ524304:JFJ524404 JPF524304:JPF524404 JZB524304:JZB524404 KIX524304:KIX524404 KST524304:KST524404 LCP524304:LCP524404 LML524304:LML524404 LWH524304:LWH524404 MGD524304:MGD524404 MPZ524304:MPZ524404 MZV524304:MZV524404 NJR524304:NJR524404 NTN524304:NTN524404 ODJ524304:ODJ524404 ONF524304:ONF524404 OXB524304:OXB524404 PGX524304:PGX524404 PQT524304:PQT524404 QAP524304:QAP524404 QKL524304:QKL524404 QUH524304:QUH524404 RED524304:RED524404 RNZ524304:RNZ524404 RXV524304:RXV524404 SHR524304:SHR524404 SRN524304:SRN524404 TBJ524304:TBJ524404 TLF524304:TLF524404 TVB524304:TVB524404 UEX524304:UEX524404 UOT524304:UOT524404 UYP524304:UYP524404 VIL524304:VIL524404 VSH524304:VSH524404 WCD524304:WCD524404 WLZ524304:WLZ524404 WVV524304:WVV524404 N589840:N589940 JJ589840:JJ589940 TF589840:TF589940 ADB589840:ADB589940 AMX589840:AMX589940 AWT589840:AWT589940 BGP589840:BGP589940 BQL589840:BQL589940 CAH589840:CAH589940 CKD589840:CKD589940 CTZ589840:CTZ589940 DDV589840:DDV589940 DNR589840:DNR589940 DXN589840:DXN589940 EHJ589840:EHJ589940 ERF589840:ERF589940 FBB589840:FBB589940 FKX589840:FKX589940 FUT589840:FUT589940 GEP589840:GEP589940 GOL589840:GOL589940 GYH589840:GYH589940 HID589840:HID589940 HRZ589840:HRZ589940 IBV589840:IBV589940 ILR589840:ILR589940 IVN589840:IVN589940 JFJ589840:JFJ589940 JPF589840:JPF589940 JZB589840:JZB589940 KIX589840:KIX589940 KST589840:KST589940 LCP589840:LCP589940 LML589840:LML589940 LWH589840:LWH589940 MGD589840:MGD589940 MPZ589840:MPZ589940 MZV589840:MZV589940 NJR589840:NJR589940 NTN589840:NTN589940 ODJ589840:ODJ589940 ONF589840:ONF589940 OXB589840:OXB589940 PGX589840:PGX589940 PQT589840:PQT589940 QAP589840:QAP589940 QKL589840:QKL589940 QUH589840:QUH589940 RED589840:RED589940 RNZ589840:RNZ589940 RXV589840:RXV589940 SHR589840:SHR589940 SRN589840:SRN589940 TBJ589840:TBJ589940 TLF589840:TLF589940 TVB589840:TVB589940 UEX589840:UEX589940 UOT589840:UOT589940 UYP589840:UYP589940 VIL589840:VIL589940 VSH589840:VSH589940 WCD589840:WCD589940 WLZ589840:WLZ589940 WVV589840:WVV589940 N655376:N655476 JJ655376:JJ655476 TF655376:TF655476 ADB655376:ADB655476 AMX655376:AMX655476 AWT655376:AWT655476 BGP655376:BGP655476 BQL655376:BQL655476 CAH655376:CAH655476 CKD655376:CKD655476 CTZ655376:CTZ655476 DDV655376:DDV655476 DNR655376:DNR655476 DXN655376:DXN655476 EHJ655376:EHJ655476 ERF655376:ERF655476 FBB655376:FBB655476 FKX655376:FKX655476 FUT655376:FUT655476 GEP655376:GEP655476 GOL655376:GOL655476 GYH655376:GYH655476 HID655376:HID655476 HRZ655376:HRZ655476 IBV655376:IBV655476 ILR655376:ILR655476 IVN655376:IVN655476 JFJ655376:JFJ655476 JPF655376:JPF655476 JZB655376:JZB655476 KIX655376:KIX655476 KST655376:KST655476 LCP655376:LCP655476 LML655376:LML655476 LWH655376:LWH655476 MGD655376:MGD655476 MPZ655376:MPZ655476 MZV655376:MZV655476 NJR655376:NJR655476 NTN655376:NTN655476 ODJ655376:ODJ655476 ONF655376:ONF655476 OXB655376:OXB655476 PGX655376:PGX655476 PQT655376:PQT655476 QAP655376:QAP655476 QKL655376:QKL655476 QUH655376:QUH655476 RED655376:RED655476 RNZ655376:RNZ655476 RXV655376:RXV655476 SHR655376:SHR655476 SRN655376:SRN655476 TBJ655376:TBJ655476 TLF655376:TLF655476 TVB655376:TVB655476 UEX655376:UEX655476 UOT655376:UOT655476 UYP655376:UYP655476 VIL655376:VIL655476 VSH655376:VSH655476 WCD655376:WCD655476 WLZ655376:WLZ655476 WVV655376:WVV655476 N720912:N721012 JJ720912:JJ721012 TF720912:TF721012 ADB720912:ADB721012 AMX720912:AMX721012 AWT720912:AWT721012 BGP720912:BGP721012 BQL720912:BQL721012 CAH720912:CAH721012 CKD720912:CKD721012 CTZ720912:CTZ721012 DDV720912:DDV721012 DNR720912:DNR721012 DXN720912:DXN721012 EHJ720912:EHJ721012 ERF720912:ERF721012 FBB720912:FBB721012 FKX720912:FKX721012 FUT720912:FUT721012 GEP720912:GEP721012 GOL720912:GOL721012 GYH720912:GYH721012 HID720912:HID721012 HRZ720912:HRZ721012 IBV720912:IBV721012 ILR720912:ILR721012 IVN720912:IVN721012 JFJ720912:JFJ721012 JPF720912:JPF721012 JZB720912:JZB721012 KIX720912:KIX721012 KST720912:KST721012 LCP720912:LCP721012 LML720912:LML721012 LWH720912:LWH721012 MGD720912:MGD721012 MPZ720912:MPZ721012 MZV720912:MZV721012 NJR720912:NJR721012 NTN720912:NTN721012 ODJ720912:ODJ721012 ONF720912:ONF721012 OXB720912:OXB721012 PGX720912:PGX721012 PQT720912:PQT721012 QAP720912:QAP721012 QKL720912:QKL721012 QUH720912:QUH721012 RED720912:RED721012 RNZ720912:RNZ721012 RXV720912:RXV721012 SHR720912:SHR721012 SRN720912:SRN721012 TBJ720912:TBJ721012 TLF720912:TLF721012 TVB720912:TVB721012 UEX720912:UEX721012 UOT720912:UOT721012 UYP720912:UYP721012 VIL720912:VIL721012 VSH720912:VSH721012 WCD720912:WCD721012 WLZ720912:WLZ721012 WVV720912:WVV721012 N786448:N786548 JJ786448:JJ786548 TF786448:TF786548 ADB786448:ADB786548 AMX786448:AMX786548 AWT786448:AWT786548 BGP786448:BGP786548 BQL786448:BQL786548 CAH786448:CAH786548 CKD786448:CKD786548 CTZ786448:CTZ786548 DDV786448:DDV786548 DNR786448:DNR786548 DXN786448:DXN786548 EHJ786448:EHJ786548 ERF786448:ERF786548 FBB786448:FBB786548 FKX786448:FKX786548 FUT786448:FUT786548 GEP786448:GEP786548 GOL786448:GOL786548 GYH786448:GYH786548 HID786448:HID786548 HRZ786448:HRZ786548 IBV786448:IBV786548 ILR786448:ILR786548 IVN786448:IVN786548 JFJ786448:JFJ786548 JPF786448:JPF786548 JZB786448:JZB786548 KIX786448:KIX786548 KST786448:KST786548 LCP786448:LCP786548 LML786448:LML786548 LWH786448:LWH786548 MGD786448:MGD786548 MPZ786448:MPZ786548 MZV786448:MZV786548 NJR786448:NJR786548 NTN786448:NTN786548 ODJ786448:ODJ786548 ONF786448:ONF786548 OXB786448:OXB786548 PGX786448:PGX786548 PQT786448:PQT786548 QAP786448:QAP786548 QKL786448:QKL786548 QUH786448:QUH786548 RED786448:RED786548 RNZ786448:RNZ786548 RXV786448:RXV786548 SHR786448:SHR786548 SRN786448:SRN786548 TBJ786448:TBJ786548 TLF786448:TLF786548 TVB786448:TVB786548 UEX786448:UEX786548 UOT786448:UOT786548 UYP786448:UYP786548 VIL786448:VIL786548 VSH786448:VSH786548 WCD786448:WCD786548 WLZ786448:WLZ786548 WVV786448:WVV786548 N851984:N852084 JJ851984:JJ852084 TF851984:TF852084 ADB851984:ADB852084 AMX851984:AMX852084 AWT851984:AWT852084 BGP851984:BGP852084 BQL851984:BQL852084 CAH851984:CAH852084 CKD851984:CKD852084 CTZ851984:CTZ852084 DDV851984:DDV852084 DNR851984:DNR852084 DXN851984:DXN852084 EHJ851984:EHJ852084 ERF851984:ERF852084 FBB851984:FBB852084 FKX851984:FKX852084 FUT851984:FUT852084 GEP851984:GEP852084 GOL851984:GOL852084 GYH851984:GYH852084 HID851984:HID852084 HRZ851984:HRZ852084 IBV851984:IBV852084 ILR851984:ILR852084 IVN851984:IVN852084 JFJ851984:JFJ852084 JPF851984:JPF852084 JZB851984:JZB852084 KIX851984:KIX852084 KST851984:KST852084 LCP851984:LCP852084 LML851984:LML852084 LWH851984:LWH852084 MGD851984:MGD852084 MPZ851984:MPZ852084 MZV851984:MZV852084 NJR851984:NJR852084 NTN851984:NTN852084 ODJ851984:ODJ852084 ONF851984:ONF852084 OXB851984:OXB852084 PGX851984:PGX852084 PQT851984:PQT852084 QAP851984:QAP852084 QKL851984:QKL852084 QUH851984:QUH852084 RED851984:RED852084 RNZ851984:RNZ852084 RXV851984:RXV852084 SHR851984:SHR852084 SRN851984:SRN852084 TBJ851984:TBJ852084 TLF851984:TLF852084 TVB851984:TVB852084 UEX851984:UEX852084 UOT851984:UOT852084 UYP851984:UYP852084 VIL851984:VIL852084 VSH851984:VSH852084 WCD851984:WCD852084 WLZ851984:WLZ852084 WVV851984:WVV852084 N917520:N917620 JJ917520:JJ917620 TF917520:TF917620 ADB917520:ADB917620 AMX917520:AMX917620 AWT917520:AWT917620 BGP917520:BGP917620 BQL917520:BQL917620 CAH917520:CAH917620 CKD917520:CKD917620 CTZ917520:CTZ917620 DDV917520:DDV917620 DNR917520:DNR917620 DXN917520:DXN917620 EHJ917520:EHJ917620 ERF917520:ERF917620 FBB917520:FBB917620 FKX917520:FKX917620 FUT917520:FUT917620 GEP917520:GEP917620 GOL917520:GOL917620 GYH917520:GYH917620 HID917520:HID917620 HRZ917520:HRZ917620 IBV917520:IBV917620 ILR917520:ILR917620 IVN917520:IVN917620 JFJ917520:JFJ917620 JPF917520:JPF917620 JZB917520:JZB917620 KIX917520:KIX917620 KST917520:KST917620 LCP917520:LCP917620 LML917520:LML917620 LWH917520:LWH917620 MGD917520:MGD917620 MPZ917520:MPZ917620 MZV917520:MZV917620 NJR917520:NJR917620 NTN917520:NTN917620 ODJ917520:ODJ917620 ONF917520:ONF917620 OXB917520:OXB917620 PGX917520:PGX917620 PQT917520:PQT917620 QAP917520:QAP917620 QKL917520:QKL917620 QUH917520:QUH917620 RED917520:RED917620 RNZ917520:RNZ917620 RXV917520:RXV917620 SHR917520:SHR917620 SRN917520:SRN917620 TBJ917520:TBJ917620 TLF917520:TLF917620 TVB917520:TVB917620 UEX917520:UEX917620 UOT917520:UOT917620 UYP917520:UYP917620 VIL917520:VIL917620 VSH917520:VSH917620 WCD917520:WCD917620 WLZ917520:WLZ917620 WVV917520:WVV917620 N983056:N983156 JJ983056:JJ983156 TF983056:TF983156 ADB983056:ADB983156 AMX983056:AMX983156 AWT983056:AWT983156 BGP983056:BGP983156 BQL983056:BQL983156 CAH983056:CAH983156 CKD983056:CKD983156 CTZ983056:CTZ983156 DDV983056:DDV983156 DNR983056:DNR983156 DXN983056:DXN983156 EHJ983056:EHJ983156 ERF983056:ERF983156 FBB983056:FBB983156 FKX983056:FKX983156 FUT983056:FUT983156 GEP983056:GEP983156 GOL983056:GOL983156 GYH983056:GYH983156 HID983056:HID983156 HRZ983056:HRZ983156 IBV983056:IBV983156 ILR983056:ILR983156 IVN983056:IVN983156 JFJ983056:JFJ983156 JPF983056:JPF983156 JZB983056:JZB983156 KIX983056:KIX983156 KST983056:KST983156 LCP983056:LCP983156 LML983056:LML983156 LWH983056:LWH983156 MGD983056:MGD983156 MPZ983056:MPZ983156 MZV983056:MZV983156 NJR983056:NJR983156 NTN983056:NTN983156 ODJ983056:ODJ983156 ONF983056:ONF983156 OXB983056:OXB983156 PGX983056:PGX983156 PQT983056:PQT983156 QAP983056:QAP983156 QKL983056:QKL983156 QUH983056:QUH983156 RED983056:RED983156 RNZ983056:RNZ983156 RXV983056:RXV983156 SHR983056:SHR983156 SRN983056:SRN983156 TBJ983056:TBJ983156 TLF983056:TLF983156 TVB983056:TVB983156 UEX983056:UEX983156 UOT983056:UOT983156 UYP983056:UYP983156 VIL983056:VIL983156 VSH983056:VSH983156 WCD983056:WCD983156 WVV12:WVV65 WLZ12:WLZ65 WCD12:WCD65 VSH12:VSH65 VIL12:VIL65 UYP12:UYP65 UOT12:UOT65 UEX12:UEX65 TVB12:TVB65 TLF12:TLF65 TBJ12:TBJ65 SRN12:SRN65 SHR12:SHR65 RXV12:RXV65 RNZ12:RNZ65 RED12:RED65 QUH12:QUH65 QKL12:QKL65 QAP12:QAP65 PQT12:PQT65 PGX12:PGX65 OXB12:OXB65 ONF12:ONF65 ODJ12:ODJ65 NTN12:NTN65 NJR12:NJR65 MZV12:MZV65 MPZ12:MPZ65 MGD12:MGD65 LWH12:LWH65 LML12:LML65 LCP12:LCP65 KST12:KST65 KIX12:KIX65 JZB12:JZB65 JPF12:JPF65 JFJ12:JFJ65 IVN12:IVN65 ILR12:ILR65 IBV12:IBV65 HRZ12:HRZ65 HID12:HID65 GYH12:GYH65 GOL12:GOL65 GEP12:GEP65 FUT12:FUT65 FKX12:FKX65 FBB12:FBB65 ERF12:ERF65 EHJ12:EHJ65 DXN12:DXN65 DNR12:DNR65 DDV12:DDV65 CTZ12:CTZ65 CKD12:CKD65 CAH12:CAH65 BQL12:BQL65 BGP12:BGP65 AWT12:AWT65 AMX12:AMX65 ADB12:ADB65 TF12:TF65 JJ12:JJ65 JJ67:JJ116" xr:uid="{3DEA1D58-4442-4493-ACBC-C4505C8DA027}">
      <formula1>$N$10</formula1>
    </dataValidation>
    <dataValidation type="whole" operator="lessThanOrEqual" allowBlank="1" showInputMessage="1" showErrorMessage="1" error="INPUT NUMBER LESS THAN OR EQUAL THE HIGHEST POSSIBLE SCORE" prompt="Input Raw Score" sqref="WVU983056:WVU983156 TE67:TE116 ADA67:ADA116 AMW67:AMW116 AWS67:AWS116 BGO67:BGO116 BQK67:BQK116 CAG67:CAG116 CKC67:CKC116 CTY67:CTY116 DDU67:DDU116 DNQ67:DNQ116 DXM67:DXM116 EHI67:EHI116 ERE67:ERE116 FBA67:FBA116 FKW67:FKW116 FUS67:FUS116 GEO67:GEO116 GOK67:GOK116 GYG67:GYG116 HIC67:HIC116 HRY67:HRY116 IBU67:IBU116 ILQ67:ILQ116 IVM67:IVM116 JFI67:JFI116 JPE67:JPE116 JZA67:JZA116 KIW67:KIW116 KSS67:KSS116 LCO67:LCO116 LMK67:LMK116 LWG67:LWG116 MGC67:MGC116 MPY67:MPY116 MZU67:MZU116 NJQ67:NJQ116 NTM67:NTM116 ODI67:ODI116 ONE67:ONE116 OXA67:OXA116 PGW67:PGW116 PQS67:PQS116 QAO67:QAO116 QKK67:QKK116 QUG67:QUG116 REC67:REC116 RNY67:RNY116 RXU67:RXU116 SHQ67:SHQ116 SRM67:SRM116 TBI67:TBI116 TLE67:TLE116 TVA67:TVA116 UEW67:UEW116 UOS67:UOS116 UYO67:UYO116 VIK67:VIK116 VSG67:VSG116 WCC67:WCC116 WLY67:WLY116 WVU67:WVU116 WLY983056:WLY983156 M65552:M65652 JI65552:JI65652 TE65552:TE65652 ADA65552:ADA65652 AMW65552:AMW65652 AWS65552:AWS65652 BGO65552:BGO65652 BQK65552:BQK65652 CAG65552:CAG65652 CKC65552:CKC65652 CTY65552:CTY65652 DDU65552:DDU65652 DNQ65552:DNQ65652 DXM65552:DXM65652 EHI65552:EHI65652 ERE65552:ERE65652 FBA65552:FBA65652 FKW65552:FKW65652 FUS65552:FUS65652 GEO65552:GEO65652 GOK65552:GOK65652 GYG65552:GYG65652 HIC65552:HIC65652 HRY65552:HRY65652 IBU65552:IBU65652 ILQ65552:ILQ65652 IVM65552:IVM65652 JFI65552:JFI65652 JPE65552:JPE65652 JZA65552:JZA65652 KIW65552:KIW65652 KSS65552:KSS65652 LCO65552:LCO65652 LMK65552:LMK65652 LWG65552:LWG65652 MGC65552:MGC65652 MPY65552:MPY65652 MZU65552:MZU65652 NJQ65552:NJQ65652 NTM65552:NTM65652 ODI65552:ODI65652 ONE65552:ONE65652 OXA65552:OXA65652 PGW65552:PGW65652 PQS65552:PQS65652 QAO65552:QAO65652 QKK65552:QKK65652 QUG65552:QUG65652 REC65552:REC65652 RNY65552:RNY65652 RXU65552:RXU65652 SHQ65552:SHQ65652 SRM65552:SRM65652 TBI65552:TBI65652 TLE65552:TLE65652 TVA65552:TVA65652 UEW65552:UEW65652 UOS65552:UOS65652 UYO65552:UYO65652 VIK65552:VIK65652 VSG65552:VSG65652 WCC65552:WCC65652 WLY65552:WLY65652 WVU65552:WVU65652 M131088:M131188 JI131088:JI131188 TE131088:TE131188 ADA131088:ADA131188 AMW131088:AMW131188 AWS131088:AWS131188 BGO131088:BGO131188 BQK131088:BQK131188 CAG131088:CAG131188 CKC131088:CKC131188 CTY131088:CTY131188 DDU131088:DDU131188 DNQ131088:DNQ131188 DXM131088:DXM131188 EHI131088:EHI131188 ERE131088:ERE131188 FBA131088:FBA131188 FKW131088:FKW131188 FUS131088:FUS131188 GEO131088:GEO131188 GOK131088:GOK131188 GYG131088:GYG131188 HIC131088:HIC131188 HRY131088:HRY131188 IBU131088:IBU131188 ILQ131088:ILQ131188 IVM131088:IVM131188 JFI131088:JFI131188 JPE131088:JPE131188 JZA131088:JZA131188 KIW131088:KIW131188 KSS131088:KSS131188 LCO131088:LCO131188 LMK131088:LMK131188 LWG131088:LWG131188 MGC131088:MGC131188 MPY131088:MPY131188 MZU131088:MZU131188 NJQ131088:NJQ131188 NTM131088:NTM131188 ODI131088:ODI131188 ONE131088:ONE131188 OXA131088:OXA131188 PGW131088:PGW131188 PQS131088:PQS131188 QAO131088:QAO131188 QKK131088:QKK131188 QUG131088:QUG131188 REC131088:REC131188 RNY131088:RNY131188 RXU131088:RXU131188 SHQ131088:SHQ131188 SRM131088:SRM131188 TBI131088:TBI131188 TLE131088:TLE131188 TVA131088:TVA131188 UEW131088:UEW131188 UOS131088:UOS131188 UYO131088:UYO131188 VIK131088:VIK131188 VSG131088:VSG131188 WCC131088:WCC131188 WLY131088:WLY131188 WVU131088:WVU131188 M196624:M196724 JI196624:JI196724 TE196624:TE196724 ADA196624:ADA196724 AMW196624:AMW196724 AWS196624:AWS196724 BGO196624:BGO196724 BQK196624:BQK196724 CAG196624:CAG196724 CKC196624:CKC196724 CTY196624:CTY196724 DDU196624:DDU196724 DNQ196624:DNQ196724 DXM196624:DXM196724 EHI196624:EHI196724 ERE196624:ERE196724 FBA196624:FBA196724 FKW196624:FKW196724 FUS196624:FUS196724 GEO196624:GEO196724 GOK196624:GOK196724 GYG196624:GYG196724 HIC196624:HIC196724 HRY196624:HRY196724 IBU196624:IBU196724 ILQ196624:ILQ196724 IVM196624:IVM196724 JFI196624:JFI196724 JPE196624:JPE196724 JZA196624:JZA196724 KIW196624:KIW196724 KSS196624:KSS196724 LCO196624:LCO196724 LMK196624:LMK196724 LWG196624:LWG196724 MGC196624:MGC196724 MPY196624:MPY196724 MZU196624:MZU196724 NJQ196624:NJQ196724 NTM196624:NTM196724 ODI196624:ODI196724 ONE196624:ONE196724 OXA196624:OXA196724 PGW196624:PGW196724 PQS196624:PQS196724 QAO196624:QAO196724 QKK196624:QKK196724 QUG196624:QUG196724 REC196624:REC196724 RNY196624:RNY196724 RXU196624:RXU196724 SHQ196624:SHQ196724 SRM196624:SRM196724 TBI196624:TBI196724 TLE196624:TLE196724 TVA196624:TVA196724 UEW196624:UEW196724 UOS196624:UOS196724 UYO196624:UYO196724 VIK196624:VIK196724 VSG196624:VSG196724 WCC196624:WCC196724 WLY196624:WLY196724 WVU196624:WVU196724 M262160:M262260 JI262160:JI262260 TE262160:TE262260 ADA262160:ADA262260 AMW262160:AMW262260 AWS262160:AWS262260 BGO262160:BGO262260 BQK262160:BQK262260 CAG262160:CAG262260 CKC262160:CKC262260 CTY262160:CTY262260 DDU262160:DDU262260 DNQ262160:DNQ262260 DXM262160:DXM262260 EHI262160:EHI262260 ERE262160:ERE262260 FBA262160:FBA262260 FKW262160:FKW262260 FUS262160:FUS262260 GEO262160:GEO262260 GOK262160:GOK262260 GYG262160:GYG262260 HIC262160:HIC262260 HRY262160:HRY262260 IBU262160:IBU262260 ILQ262160:ILQ262260 IVM262160:IVM262260 JFI262160:JFI262260 JPE262160:JPE262260 JZA262160:JZA262260 KIW262160:KIW262260 KSS262160:KSS262260 LCO262160:LCO262260 LMK262160:LMK262260 LWG262160:LWG262260 MGC262160:MGC262260 MPY262160:MPY262260 MZU262160:MZU262260 NJQ262160:NJQ262260 NTM262160:NTM262260 ODI262160:ODI262260 ONE262160:ONE262260 OXA262160:OXA262260 PGW262160:PGW262260 PQS262160:PQS262260 QAO262160:QAO262260 QKK262160:QKK262260 QUG262160:QUG262260 REC262160:REC262260 RNY262160:RNY262260 RXU262160:RXU262260 SHQ262160:SHQ262260 SRM262160:SRM262260 TBI262160:TBI262260 TLE262160:TLE262260 TVA262160:TVA262260 UEW262160:UEW262260 UOS262160:UOS262260 UYO262160:UYO262260 VIK262160:VIK262260 VSG262160:VSG262260 WCC262160:WCC262260 WLY262160:WLY262260 WVU262160:WVU262260 M327696:M327796 JI327696:JI327796 TE327696:TE327796 ADA327696:ADA327796 AMW327696:AMW327796 AWS327696:AWS327796 BGO327696:BGO327796 BQK327696:BQK327796 CAG327696:CAG327796 CKC327696:CKC327796 CTY327696:CTY327796 DDU327696:DDU327796 DNQ327696:DNQ327796 DXM327696:DXM327796 EHI327696:EHI327796 ERE327696:ERE327796 FBA327696:FBA327796 FKW327696:FKW327796 FUS327696:FUS327796 GEO327696:GEO327796 GOK327696:GOK327796 GYG327696:GYG327796 HIC327696:HIC327796 HRY327696:HRY327796 IBU327696:IBU327796 ILQ327696:ILQ327796 IVM327696:IVM327796 JFI327696:JFI327796 JPE327696:JPE327796 JZA327696:JZA327796 KIW327696:KIW327796 KSS327696:KSS327796 LCO327696:LCO327796 LMK327696:LMK327796 LWG327696:LWG327796 MGC327696:MGC327796 MPY327696:MPY327796 MZU327696:MZU327796 NJQ327696:NJQ327796 NTM327696:NTM327796 ODI327696:ODI327796 ONE327696:ONE327796 OXA327696:OXA327796 PGW327696:PGW327796 PQS327696:PQS327796 QAO327696:QAO327796 QKK327696:QKK327796 QUG327696:QUG327796 REC327696:REC327796 RNY327696:RNY327796 RXU327696:RXU327796 SHQ327696:SHQ327796 SRM327696:SRM327796 TBI327696:TBI327796 TLE327696:TLE327796 TVA327696:TVA327796 UEW327696:UEW327796 UOS327696:UOS327796 UYO327696:UYO327796 VIK327696:VIK327796 VSG327696:VSG327796 WCC327696:WCC327796 WLY327696:WLY327796 WVU327696:WVU327796 M393232:M393332 JI393232:JI393332 TE393232:TE393332 ADA393232:ADA393332 AMW393232:AMW393332 AWS393232:AWS393332 BGO393232:BGO393332 BQK393232:BQK393332 CAG393232:CAG393332 CKC393232:CKC393332 CTY393232:CTY393332 DDU393232:DDU393332 DNQ393232:DNQ393332 DXM393232:DXM393332 EHI393232:EHI393332 ERE393232:ERE393332 FBA393232:FBA393332 FKW393232:FKW393332 FUS393232:FUS393332 GEO393232:GEO393332 GOK393232:GOK393332 GYG393232:GYG393332 HIC393232:HIC393332 HRY393232:HRY393332 IBU393232:IBU393332 ILQ393232:ILQ393332 IVM393232:IVM393332 JFI393232:JFI393332 JPE393232:JPE393332 JZA393232:JZA393332 KIW393232:KIW393332 KSS393232:KSS393332 LCO393232:LCO393332 LMK393232:LMK393332 LWG393232:LWG393332 MGC393232:MGC393332 MPY393232:MPY393332 MZU393232:MZU393332 NJQ393232:NJQ393332 NTM393232:NTM393332 ODI393232:ODI393332 ONE393232:ONE393332 OXA393232:OXA393332 PGW393232:PGW393332 PQS393232:PQS393332 QAO393232:QAO393332 QKK393232:QKK393332 QUG393232:QUG393332 REC393232:REC393332 RNY393232:RNY393332 RXU393232:RXU393332 SHQ393232:SHQ393332 SRM393232:SRM393332 TBI393232:TBI393332 TLE393232:TLE393332 TVA393232:TVA393332 UEW393232:UEW393332 UOS393232:UOS393332 UYO393232:UYO393332 VIK393232:VIK393332 VSG393232:VSG393332 WCC393232:WCC393332 WLY393232:WLY393332 WVU393232:WVU393332 M458768:M458868 JI458768:JI458868 TE458768:TE458868 ADA458768:ADA458868 AMW458768:AMW458868 AWS458768:AWS458868 BGO458768:BGO458868 BQK458768:BQK458868 CAG458768:CAG458868 CKC458768:CKC458868 CTY458768:CTY458868 DDU458768:DDU458868 DNQ458768:DNQ458868 DXM458768:DXM458868 EHI458768:EHI458868 ERE458768:ERE458868 FBA458768:FBA458868 FKW458768:FKW458868 FUS458768:FUS458868 GEO458768:GEO458868 GOK458768:GOK458868 GYG458768:GYG458868 HIC458768:HIC458868 HRY458768:HRY458868 IBU458768:IBU458868 ILQ458768:ILQ458868 IVM458768:IVM458868 JFI458768:JFI458868 JPE458768:JPE458868 JZA458768:JZA458868 KIW458768:KIW458868 KSS458768:KSS458868 LCO458768:LCO458868 LMK458768:LMK458868 LWG458768:LWG458868 MGC458768:MGC458868 MPY458768:MPY458868 MZU458768:MZU458868 NJQ458768:NJQ458868 NTM458768:NTM458868 ODI458768:ODI458868 ONE458768:ONE458868 OXA458768:OXA458868 PGW458768:PGW458868 PQS458768:PQS458868 QAO458768:QAO458868 QKK458768:QKK458868 QUG458768:QUG458868 REC458768:REC458868 RNY458768:RNY458868 RXU458768:RXU458868 SHQ458768:SHQ458868 SRM458768:SRM458868 TBI458768:TBI458868 TLE458768:TLE458868 TVA458768:TVA458868 UEW458768:UEW458868 UOS458768:UOS458868 UYO458768:UYO458868 VIK458768:VIK458868 VSG458768:VSG458868 WCC458768:WCC458868 WLY458768:WLY458868 WVU458768:WVU458868 M524304:M524404 JI524304:JI524404 TE524304:TE524404 ADA524304:ADA524404 AMW524304:AMW524404 AWS524304:AWS524404 BGO524304:BGO524404 BQK524304:BQK524404 CAG524304:CAG524404 CKC524304:CKC524404 CTY524304:CTY524404 DDU524304:DDU524404 DNQ524304:DNQ524404 DXM524304:DXM524404 EHI524304:EHI524404 ERE524304:ERE524404 FBA524304:FBA524404 FKW524304:FKW524404 FUS524304:FUS524404 GEO524304:GEO524404 GOK524304:GOK524404 GYG524304:GYG524404 HIC524304:HIC524404 HRY524304:HRY524404 IBU524304:IBU524404 ILQ524304:ILQ524404 IVM524304:IVM524404 JFI524304:JFI524404 JPE524304:JPE524404 JZA524304:JZA524404 KIW524304:KIW524404 KSS524304:KSS524404 LCO524304:LCO524404 LMK524304:LMK524404 LWG524304:LWG524404 MGC524304:MGC524404 MPY524304:MPY524404 MZU524304:MZU524404 NJQ524304:NJQ524404 NTM524304:NTM524404 ODI524304:ODI524404 ONE524304:ONE524404 OXA524304:OXA524404 PGW524304:PGW524404 PQS524304:PQS524404 QAO524304:QAO524404 QKK524304:QKK524404 QUG524304:QUG524404 REC524304:REC524404 RNY524304:RNY524404 RXU524304:RXU524404 SHQ524304:SHQ524404 SRM524304:SRM524404 TBI524304:TBI524404 TLE524304:TLE524404 TVA524304:TVA524404 UEW524304:UEW524404 UOS524304:UOS524404 UYO524304:UYO524404 VIK524304:VIK524404 VSG524304:VSG524404 WCC524304:WCC524404 WLY524304:WLY524404 WVU524304:WVU524404 M589840:M589940 JI589840:JI589940 TE589840:TE589940 ADA589840:ADA589940 AMW589840:AMW589940 AWS589840:AWS589940 BGO589840:BGO589940 BQK589840:BQK589940 CAG589840:CAG589940 CKC589840:CKC589940 CTY589840:CTY589940 DDU589840:DDU589940 DNQ589840:DNQ589940 DXM589840:DXM589940 EHI589840:EHI589940 ERE589840:ERE589940 FBA589840:FBA589940 FKW589840:FKW589940 FUS589840:FUS589940 GEO589840:GEO589940 GOK589840:GOK589940 GYG589840:GYG589940 HIC589840:HIC589940 HRY589840:HRY589940 IBU589840:IBU589940 ILQ589840:ILQ589940 IVM589840:IVM589940 JFI589840:JFI589940 JPE589840:JPE589940 JZA589840:JZA589940 KIW589840:KIW589940 KSS589840:KSS589940 LCO589840:LCO589940 LMK589840:LMK589940 LWG589840:LWG589940 MGC589840:MGC589940 MPY589840:MPY589940 MZU589840:MZU589940 NJQ589840:NJQ589940 NTM589840:NTM589940 ODI589840:ODI589940 ONE589840:ONE589940 OXA589840:OXA589940 PGW589840:PGW589940 PQS589840:PQS589940 QAO589840:QAO589940 QKK589840:QKK589940 QUG589840:QUG589940 REC589840:REC589940 RNY589840:RNY589940 RXU589840:RXU589940 SHQ589840:SHQ589940 SRM589840:SRM589940 TBI589840:TBI589940 TLE589840:TLE589940 TVA589840:TVA589940 UEW589840:UEW589940 UOS589840:UOS589940 UYO589840:UYO589940 VIK589840:VIK589940 VSG589840:VSG589940 WCC589840:WCC589940 WLY589840:WLY589940 WVU589840:WVU589940 M655376:M655476 JI655376:JI655476 TE655376:TE655476 ADA655376:ADA655476 AMW655376:AMW655476 AWS655376:AWS655476 BGO655376:BGO655476 BQK655376:BQK655476 CAG655376:CAG655476 CKC655376:CKC655476 CTY655376:CTY655476 DDU655376:DDU655476 DNQ655376:DNQ655476 DXM655376:DXM655476 EHI655376:EHI655476 ERE655376:ERE655476 FBA655376:FBA655476 FKW655376:FKW655476 FUS655376:FUS655476 GEO655376:GEO655476 GOK655376:GOK655476 GYG655376:GYG655476 HIC655376:HIC655476 HRY655376:HRY655476 IBU655376:IBU655476 ILQ655376:ILQ655476 IVM655376:IVM655476 JFI655376:JFI655476 JPE655376:JPE655476 JZA655376:JZA655476 KIW655376:KIW655476 KSS655376:KSS655476 LCO655376:LCO655476 LMK655376:LMK655476 LWG655376:LWG655476 MGC655376:MGC655476 MPY655376:MPY655476 MZU655376:MZU655476 NJQ655376:NJQ655476 NTM655376:NTM655476 ODI655376:ODI655476 ONE655376:ONE655476 OXA655376:OXA655476 PGW655376:PGW655476 PQS655376:PQS655476 QAO655376:QAO655476 QKK655376:QKK655476 QUG655376:QUG655476 REC655376:REC655476 RNY655376:RNY655476 RXU655376:RXU655476 SHQ655376:SHQ655476 SRM655376:SRM655476 TBI655376:TBI655476 TLE655376:TLE655476 TVA655376:TVA655476 UEW655376:UEW655476 UOS655376:UOS655476 UYO655376:UYO655476 VIK655376:VIK655476 VSG655376:VSG655476 WCC655376:WCC655476 WLY655376:WLY655476 WVU655376:WVU655476 M720912:M721012 JI720912:JI721012 TE720912:TE721012 ADA720912:ADA721012 AMW720912:AMW721012 AWS720912:AWS721012 BGO720912:BGO721012 BQK720912:BQK721012 CAG720912:CAG721012 CKC720912:CKC721012 CTY720912:CTY721012 DDU720912:DDU721012 DNQ720912:DNQ721012 DXM720912:DXM721012 EHI720912:EHI721012 ERE720912:ERE721012 FBA720912:FBA721012 FKW720912:FKW721012 FUS720912:FUS721012 GEO720912:GEO721012 GOK720912:GOK721012 GYG720912:GYG721012 HIC720912:HIC721012 HRY720912:HRY721012 IBU720912:IBU721012 ILQ720912:ILQ721012 IVM720912:IVM721012 JFI720912:JFI721012 JPE720912:JPE721012 JZA720912:JZA721012 KIW720912:KIW721012 KSS720912:KSS721012 LCO720912:LCO721012 LMK720912:LMK721012 LWG720912:LWG721012 MGC720912:MGC721012 MPY720912:MPY721012 MZU720912:MZU721012 NJQ720912:NJQ721012 NTM720912:NTM721012 ODI720912:ODI721012 ONE720912:ONE721012 OXA720912:OXA721012 PGW720912:PGW721012 PQS720912:PQS721012 QAO720912:QAO721012 QKK720912:QKK721012 QUG720912:QUG721012 REC720912:REC721012 RNY720912:RNY721012 RXU720912:RXU721012 SHQ720912:SHQ721012 SRM720912:SRM721012 TBI720912:TBI721012 TLE720912:TLE721012 TVA720912:TVA721012 UEW720912:UEW721012 UOS720912:UOS721012 UYO720912:UYO721012 VIK720912:VIK721012 VSG720912:VSG721012 WCC720912:WCC721012 WLY720912:WLY721012 WVU720912:WVU721012 M786448:M786548 JI786448:JI786548 TE786448:TE786548 ADA786448:ADA786548 AMW786448:AMW786548 AWS786448:AWS786548 BGO786448:BGO786548 BQK786448:BQK786548 CAG786448:CAG786548 CKC786448:CKC786548 CTY786448:CTY786548 DDU786448:DDU786548 DNQ786448:DNQ786548 DXM786448:DXM786548 EHI786448:EHI786548 ERE786448:ERE786548 FBA786448:FBA786548 FKW786448:FKW786548 FUS786448:FUS786548 GEO786448:GEO786548 GOK786448:GOK786548 GYG786448:GYG786548 HIC786448:HIC786548 HRY786448:HRY786548 IBU786448:IBU786548 ILQ786448:ILQ786548 IVM786448:IVM786548 JFI786448:JFI786548 JPE786448:JPE786548 JZA786448:JZA786548 KIW786448:KIW786548 KSS786448:KSS786548 LCO786448:LCO786548 LMK786448:LMK786548 LWG786448:LWG786548 MGC786448:MGC786548 MPY786448:MPY786548 MZU786448:MZU786548 NJQ786448:NJQ786548 NTM786448:NTM786548 ODI786448:ODI786548 ONE786448:ONE786548 OXA786448:OXA786548 PGW786448:PGW786548 PQS786448:PQS786548 QAO786448:QAO786548 QKK786448:QKK786548 QUG786448:QUG786548 REC786448:REC786548 RNY786448:RNY786548 RXU786448:RXU786548 SHQ786448:SHQ786548 SRM786448:SRM786548 TBI786448:TBI786548 TLE786448:TLE786548 TVA786448:TVA786548 UEW786448:UEW786548 UOS786448:UOS786548 UYO786448:UYO786548 VIK786448:VIK786548 VSG786448:VSG786548 WCC786448:WCC786548 WLY786448:WLY786548 WVU786448:WVU786548 M851984:M852084 JI851984:JI852084 TE851984:TE852084 ADA851984:ADA852084 AMW851984:AMW852084 AWS851984:AWS852084 BGO851984:BGO852084 BQK851984:BQK852084 CAG851984:CAG852084 CKC851984:CKC852084 CTY851984:CTY852084 DDU851984:DDU852084 DNQ851984:DNQ852084 DXM851984:DXM852084 EHI851984:EHI852084 ERE851984:ERE852084 FBA851984:FBA852084 FKW851984:FKW852084 FUS851984:FUS852084 GEO851984:GEO852084 GOK851984:GOK852084 GYG851984:GYG852084 HIC851984:HIC852084 HRY851984:HRY852084 IBU851984:IBU852084 ILQ851984:ILQ852084 IVM851984:IVM852084 JFI851984:JFI852084 JPE851984:JPE852084 JZA851984:JZA852084 KIW851984:KIW852084 KSS851984:KSS852084 LCO851984:LCO852084 LMK851984:LMK852084 LWG851984:LWG852084 MGC851984:MGC852084 MPY851984:MPY852084 MZU851984:MZU852084 NJQ851984:NJQ852084 NTM851984:NTM852084 ODI851984:ODI852084 ONE851984:ONE852084 OXA851984:OXA852084 PGW851984:PGW852084 PQS851984:PQS852084 QAO851984:QAO852084 QKK851984:QKK852084 QUG851984:QUG852084 REC851984:REC852084 RNY851984:RNY852084 RXU851984:RXU852084 SHQ851984:SHQ852084 SRM851984:SRM852084 TBI851984:TBI852084 TLE851984:TLE852084 TVA851984:TVA852084 UEW851984:UEW852084 UOS851984:UOS852084 UYO851984:UYO852084 VIK851984:VIK852084 VSG851984:VSG852084 WCC851984:WCC852084 WLY851984:WLY852084 WVU851984:WVU852084 M917520:M917620 JI917520:JI917620 TE917520:TE917620 ADA917520:ADA917620 AMW917520:AMW917620 AWS917520:AWS917620 BGO917520:BGO917620 BQK917520:BQK917620 CAG917520:CAG917620 CKC917520:CKC917620 CTY917520:CTY917620 DDU917520:DDU917620 DNQ917520:DNQ917620 DXM917520:DXM917620 EHI917520:EHI917620 ERE917520:ERE917620 FBA917520:FBA917620 FKW917520:FKW917620 FUS917520:FUS917620 GEO917520:GEO917620 GOK917520:GOK917620 GYG917520:GYG917620 HIC917520:HIC917620 HRY917520:HRY917620 IBU917520:IBU917620 ILQ917520:ILQ917620 IVM917520:IVM917620 JFI917520:JFI917620 JPE917520:JPE917620 JZA917520:JZA917620 KIW917520:KIW917620 KSS917520:KSS917620 LCO917520:LCO917620 LMK917520:LMK917620 LWG917520:LWG917620 MGC917520:MGC917620 MPY917520:MPY917620 MZU917520:MZU917620 NJQ917520:NJQ917620 NTM917520:NTM917620 ODI917520:ODI917620 ONE917520:ONE917620 OXA917520:OXA917620 PGW917520:PGW917620 PQS917520:PQS917620 QAO917520:QAO917620 QKK917520:QKK917620 QUG917520:QUG917620 REC917520:REC917620 RNY917520:RNY917620 RXU917520:RXU917620 SHQ917520:SHQ917620 SRM917520:SRM917620 TBI917520:TBI917620 TLE917520:TLE917620 TVA917520:TVA917620 UEW917520:UEW917620 UOS917520:UOS917620 UYO917520:UYO917620 VIK917520:VIK917620 VSG917520:VSG917620 WCC917520:WCC917620 WLY917520:WLY917620 WVU917520:WVU917620 M983056:M983156 JI983056:JI983156 TE983056:TE983156 ADA983056:ADA983156 AMW983056:AMW983156 AWS983056:AWS983156 BGO983056:BGO983156 BQK983056:BQK983156 CAG983056:CAG983156 CKC983056:CKC983156 CTY983056:CTY983156 DDU983056:DDU983156 DNQ983056:DNQ983156 DXM983056:DXM983156 EHI983056:EHI983156 ERE983056:ERE983156 FBA983056:FBA983156 FKW983056:FKW983156 FUS983056:FUS983156 GEO983056:GEO983156 GOK983056:GOK983156 GYG983056:GYG983156 HIC983056:HIC983156 HRY983056:HRY983156 IBU983056:IBU983156 ILQ983056:ILQ983156 IVM983056:IVM983156 JFI983056:JFI983156 JPE983056:JPE983156 JZA983056:JZA983156 KIW983056:KIW983156 KSS983056:KSS983156 LCO983056:LCO983156 LMK983056:LMK983156 LWG983056:LWG983156 MGC983056:MGC983156 MPY983056:MPY983156 MZU983056:MZU983156 NJQ983056:NJQ983156 NTM983056:NTM983156 ODI983056:ODI983156 ONE983056:ONE983156 OXA983056:OXA983156 PGW983056:PGW983156 PQS983056:PQS983156 QAO983056:QAO983156 QKK983056:QKK983156 QUG983056:QUG983156 REC983056:REC983156 RNY983056:RNY983156 RXU983056:RXU983156 SHQ983056:SHQ983156 SRM983056:SRM983156 TBI983056:TBI983156 TLE983056:TLE983156 TVA983056:TVA983156 UEW983056:UEW983156 UOS983056:UOS983156 UYO983056:UYO983156 VIK983056:VIK983156 VSG983056:VSG983156 WCC983056:WCC983156 WVU12:WVU65 WLY12:WLY65 WCC12:WCC65 VSG12:VSG65 VIK12:VIK65 UYO12:UYO65 UOS12:UOS65 UEW12:UEW65 TVA12:TVA65 TLE12:TLE65 TBI12:TBI65 SRM12:SRM65 SHQ12:SHQ65 RXU12:RXU65 RNY12:RNY65 REC12:REC65 QUG12:QUG65 QKK12:QKK65 QAO12:QAO65 PQS12:PQS65 PGW12:PGW65 OXA12:OXA65 ONE12:ONE65 ODI12:ODI65 NTM12:NTM65 NJQ12:NJQ65 MZU12:MZU65 MPY12:MPY65 MGC12:MGC65 LWG12:LWG65 LMK12:LMK65 LCO12:LCO65 KSS12:KSS65 KIW12:KIW65 JZA12:JZA65 JPE12:JPE65 JFI12:JFI65 IVM12:IVM65 ILQ12:ILQ65 IBU12:IBU65 HRY12:HRY65 HIC12:HIC65 GYG12:GYG65 GOK12:GOK65 GEO12:GEO65 FUS12:FUS65 FKW12:FKW65 FBA12:FBA65 ERE12:ERE65 EHI12:EHI65 DXM12:DXM65 DNQ12:DNQ65 DDU12:DDU65 CTY12:CTY65 CKC12:CKC65 CAG12:CAG65 BQK12:BQK65 BGO12:BGO65 AWS12:AWS65 AMW12:AMW65 ADA12:ADA65 TE12:TE65 JI12:JI65 JI67:JI116" xr:uid="{371C3889-5750-42DA-8997-A0DF742B79B5}">
      <formula1>$M$10</formula1>
    </dataValidation>
    <dataValidation type="whole" operator="lessThanOrEqual" allowBlank="1" showInputMessage="1" showErrorMessage="1" error="INPUT NUMBER LESS THAN OR EQUAL THE HIGHEST POSSIBLE SCORE" prompt="Input Raw Score" sqref="WVT983056:WVT983156 TD67:TD116 ACZ67:ACZ116 AMV67:AMV116 AWR67:AWR116 BGN67:BGN116 BQJ67:BQJ116 CAF67:CAF116 CKB67:CKB116 CTX67:CTX116 DDT67:DDT116 DNP67:DNP116 DXL67:DXL116 EHH67:EHH116 ERD67:ERD116 FAZ67:FAZ116 FKV67:FKV116 FUR67:FUR116 GEN67:GEN116 GOJ67:GOJ116 GYF67:GYF116 HIB67:HIB116 HRX67:HRX116 IBT67:IBT116 ILP67:ILP116 IVL67:IVL116 JFH67:JFH116 JPD67:JPD116 JYZ67:JYZ116 KIV67:KIV116 KSR67:KSR116 LCN67:LCN116 LMJ67:LMJ116 LWF67:LWF116 MGB67:MGB116 MPX67:MPX116 MZT67:MZT116 NJP67:NJP116 NTL67:NTL116 ODH67:ODH116 OND67:OND116 OWZ67:OWZ116 PGV67:PGV116 PQR67:PQR116 QAN67:QAN116 QKJ67:QKJ116 QUF67:QUF116 REB67:REB116 RNX67:RNX116 RXT67:RXT116 SHP67:SHP116 SRL67:SRL116 TBH67:TBH116 TLD67:TLD116 TUZ67:TUZ116 UEV67:UEV116 UOR67:UOR116 UYN67:UYN116 VIJ67:VIJ116 VSF67:VSF116 WCB67:WCB116 WLX67:WLX116 WVT67:WVT116 WLX983056:WLX983156 L65552:L65652 JH65552:JH65652 TD65552:TD65652 ACZ65552:ACZ65652 AMV65552:AMV65652 AWR65552:AWR65652 BGN65552:BGN65652 BQJ65552:BQJ65652 CAF65552:CAF65652 CKB65552:CKB65652 CTX65552:CTX65652 DDT65552:DDT65652 DNP65552:DNP65652 DXL65552:DXL65652 EHH65552:EHH65652 ERD65552:ERD65652 FAZ65552:FAZ65652 FKV65552:FKV65652 FUR65552:FUR65652 GEN65552:GEN65652 GOJ65552:GOJ65652 GYF65552:GYF65652 HIB65552:HIB65652 HRX65552:HRX65652 IBT65552:IBT65652 ILP65552:ILP65652 IVL65552:IVL65652 JFH65552:JFH65652 JPD65552:JPD65652 JYZ65552:JYZ65652 KIV65552:KIV65652 KSR65552:KSR65652 LCN65552:LCN65652 LMJ65552:LMJ65652 LWF65552:LWF65652 MGB65552:MGB65652 MPX65552:MPX65652 MZT65552:MZT65652 NJP65552:NJP65652 NTL65552:NTL65652 ODH65552:ODH65652 OND65552:OND65652 OWZ65552:OWZ65652 PGV65552:PGV65652 PQR65552:PQR65652 QAN65552:QAN65652 QKJ65552:QKJ65652 QUF65552:QUF65652 REB65552:REB65652 RNX65552:RNX65652 RXT65552:RXT65652 SHP65552:SHP65652 SRL65552:SRL65652 TBH65552:TBH65652 TLD65552:TLD65652 TUZ65552:TUZ65652 UEV65552:UEV65652 UOR65552:UOR65652 UYN65552:UYN65652 VIJ65552:VIJ65652 VSF65552:VSF65652 WCB65552:WCB65652 WLX65552:WLX65652 WVT65552:WVT65652 L131088:L131188 JH131088:JH131188 TD131088:TD131188 ACZ131088:ACZ131188 AMV131088:AMV131188 AWR131088:AWR131188 BGN131088:BGN131188 BQJ131088:BQJ131188 CAF131088:CAF131188 CKB131088:CKB131188 CTX131088:CTX131188 DDT131088:DDT131188 DNP131088:DNP131188 DXL131088:DXL131188 EHH131088:EHH131188 ERD131088:ERD131188 FAZ131088:FAZ131188 FKV131088:FKV131188 FUR131088:FUR131188 GEN131088:GEN131188 GOJ131088:GOJ131188 GYF131088:GYF131188 HIB131088:HIB131188 HRX131088:HRX131188 IBT131088:IBT131188 ILP131088:ILP131188 IVL131088:IVL131188 JFH131088:JFH131188 JPD131088:JPD131188 JYZ131088:JYZ131188 KIV131088:KIV131188 KSR131088:KSR131188 LCN131088:LCN131188 LMJ131088:LMJ131188 LWF131088:LWF131188 MGB131088:MGB131188 MPX131088:MPX131188 MZT131088:MZT131188 NJP131088:NJP131188 NTL131088:NTL131188 ODH131088:ODH131188 OND131088:OND131188 OWZ131088:OWZ131188 PGV131088:PGV131188 PQR131088:PQR131188 QAN131088:QAN131188 QKJ131088:QKJ131188 QUF131088:QUF131188 REB131088:REB131188 RNX131088:RNX131188 RXT131088:RXT131188 SHP131088:SHP131188 SRL131088:SRL131188 TBH131088:TBH131188 TLD131088:TLD131188 TUZ131088:TUZ131188 UEV131088:UEV131188 UOR131088:UOR131188 UYN131088:UYN131188 VIJ131088:VIJ131188 VSF131088:VSF131188 WCB131088:WCB131188 WLX131088:WLX131188 WVT131088:WVT131188 L196624:L196724 JH196624:JH196724 TD196624:TD196724 ACZ196624:ACZ196724 AMV196624:AMV196724 AWR196624:AWR196724 BGN196624:BGN196724 BQJ196624:BQJ196724 CAF196624:CAF196724 CKB196624:CKB196724 CTX196624:CTX196724 DDT196624:DDT196724 DNP196624:DNP196724 DXL196624:DXL196724 EHH196624:EHH196724 ERD196624:ERD196724 FAZ196624:FAZ196724 FKV196624:FKV196724 FUR196624:FUR196724 GEN196624:GEN196724 GOJ196624:GOJ196724 GYF196624:GYF196724 HIB196624:HIB196724 HRX196624:HRX196724 IBT196624:IBT196724 ILP196624:ILP196724 IVL196624:IVL196724 JFH196624:JFH196724 JPD196624:JPD196724 JYZ196624:JYZ196724 KIV196624:KIV196724 KSR196624:KSR196724 LCN196624:LCN196724 LMJ196624:LMJ196724 LWF196624:LWF196724 MGB196624:MGB196724 MPX196624:MPX196724 MZT196624:MZT196724 NJP196624:NJP196724 NTL196624:NTL196724 ODH196624:ODH196724 OND196624:OND196724 OWZ196624:OWZ196724 PGV196624:PGV196724 PQR196624:PQR196724 QAN196624:QAN196724 QKJ196624:QKJ196724 QUF196624:QUF196724 REB196624:REB196724 RNX196624:RNX196724 RXT196624:RXT196724 SHP196624:SHP196724 SRL196624:SRL196724 TBH196624:TBH196724 TLD196624:TLD196724 TUZ196624:TUZ196724 UEV196624:UEV196724 UOR196624:UOR196724 UYN196624:UYN196724 VIJ196624:VIJ196724 VSF196624:VSF196724 WCB196624:WCB196724 WLX196624:WLX196724 WVT196624:WVT196724 L262160:L262260 JH262160:JH262260 TD262160:TD262260 ACZ262160:ACZ262260 AMV262160:AMV262260 AWR262160:AWR262260 BGN262160:BGN262260 BQJ262160:BQJ262260 CAF262160:CAF262260 CKB262160:CKB262260 CTX262160:CTX262260 DDT262160:DDT262260 DNP262160:DNP262260 DXL262160:DXL262260 EHH262160:EHH262260 ERD262160:ERD262260 FAZ262160:FAZ262260 FKV262160:FKV262260 FUR262160:FUR262260 GEN262160:GEN262260 GOJ262160:GOJ262260 GYF262160:GYF262260 HIB262160:HIB262260 HRX262160:HRX262260 IBT262160:IBT262260 ILP262160:ILP262260 IVL262160:IVL262260 JFH262160:JFH262260 JPD262160:JPD262260 JYZ262160:JYZ262260 KIV262160:KIV262260 KSR262160:KSR262260 LCN262160:LCN262260 LMJ262160:LMJ262260 LWF262160:LWF262260 MGB262160:MGB262260 MPX262160:MPX262260 MZT262160:MZT262260 NJP262160:NJP262260 NTL262160:NTL262260 ODH262160:ODH262260 OND262160:OND262260 OWZ262160:OWZ262260 PGV262160:PGV262260 PQR262160:PQR262260 QAN262160:QAN262260 QKJ262160:QKJ262260 QUF262160:QUF262260 REB262160:REB262260 RNX262160:RNX262260 RXT262160:RXT262260 SHP262160:SHP262260 SRL262160:SRL262260 TBH262160:TBH262260 TLD262160:TLD262260 TUZ262160:TUZ262260 UEV262160:UEV262260 UOR262160:UOR262260 UYN262160:UYN262260 VIJ262160:VIJ262260 VSF262160:VSF262260 WCB262160:WCB262260 WLX262160:WLX262260 WVT262160:WVT262260 L327696:L327796 JH327696:JH327796 TD327696:TD327796 ACZ327696:ACZ327796 AMV327696:AMV327796 AWR327696:AWR327796 BGN327696:BGN327796 BQJ327696:BQJ327796 CAF327696:CAF327796 CKB327696:CKB327796 CTX327696:CTX327796 DDT327696:DDT327796 DNP327696:DNP327796 DXL327696:DXL327796 EHH327696:EHH327796 ERD327696:ERD327796 FAZ327696:FAZ327796 FKV327696:FKV327796 FUR327696:FUR327796 GEN327696:GEN327796 GOJ327696:GOJ327796 GYF327696:GYF327796 HIB327696:HIB327796 HRX327696:HRX327796 IBT327696:IBT327796 ILP327696:ILP327796 IVL327696:IVL327796 JFH327696:JFH327796 JPD327696:JPD327796 JYZ327696:JYZ327796 KIV327696:KIV327796 KSR327696:KSR327796 LCN327696:LCN327796 LMJ327696:LMJ327796 LWF327696:LWF327796 MGB327696:MGB327796 MPX327696:MPX327796 MZT327696:MZT327796 NJP327696:NJP327796 NTL327696:NTL327796 ODH327696:ODH327796 OND327696:OND327796 OWZ327696:OWZ327796 PGV327696:PGV327796 PQR327696:PQR327796 QAN327696:QAN327796 QKJ327696:QKJ327796 QUF327696:QUF327796 REB327696:REB327796 RNX327696:RNX327796 RXT327696:RXT327796 SHP327696:SHP327796 SRL327696:SRL327796 TBH327696:TBH327796 TLD327696:TLD327796 TUZ327696:TUZ327796 UEV327696:UEV327796 UOR327696:UOR327796 UYN327696:UYN327796 VIJ327696:VIJ327796 VSF327696:VSF327796 WCB327696:WCB327796 WLX327696:WLX327796 WVT327696:WVT327796 L393232:L393332 JH393232:JH393332 TD393232:TD393332 ACZ393232:ACZ393332 AMV393232:AMV393332 AWR393232:AWR393332 BGN393232:BGN393332 BQJ393232:BQJ393332 CAF393232:CAF393332 CKB393232:CKB393332 CTX393232:CTX393332 DDT393232:DDT393332 DNP393232:DNP393332 DXL393232:DXL393332 EHH393232:EHH393332 ERD393232:ERD393332 FAZ393232:FAZ393332 FKV393232:FKV393332 FUR393232:FUR393332 GEN393232:GEN393332 GOJ393232:GOJ393332 GYF393232:GYF393332 HIB393232:HIB393332 HRX393232:HRX393332 IBT393232:IBT393332 ILP393232:ILP393332 IVL393232:IVL393332 JFH393232:JFH393332 JPD393232:JPD393332 JYZ393232:JYZ393332 KIV393232:KIV393332 KSR393232:KSR393332 LCN393232:LCN393332 LMJ393232:LMJ393332 LWF393232:LWF393332 MGB393232:MGB393332 MPX393232:MPX393332 MZT393232:MZT393332 NJP393232:NJP393332 NTL393232:NTL393332 ODH393232:ODH393332 OND393232:OND393332 OWZ393232:OWZ393332 PGV393232:PGV393332 PQR393232:PQR393332 QAN393232:QAN393332 QKJ393232:QKJ393332 QUF393232:QUF393332 REB393232:REB393332 RNX393232:RNX393332 RXT393232:RXT393332 SHP393232:SHP393332 SRL393232:SRL393332 TBH393232:TBH393332 TLD393232:TLD393332 TUZ393232:TUZ393332 UEV393232:UEV393332 UOR393232:UOR393332 UYN393232:UYN393332 VIJ393232:VIJ393332 VSF393232:VSF393332 WCB393232:WCB393332 WLX393232:WLX393332 WVT393232:WVT393332 L458768:L458868 JH458768:JH458868 TD458768:TD458868 ACZ458768:ACZ458868 AMV458768:AMV458868 AWR458768:AWR458868 BGN458768:BGN458868 BQJ458768:BQJ458868 CAF458768:CAF458868 CKB458768:CKB458868 CTX458768:CTX458868 DDT458768:DDT458868 DNP458768:DNP458868 DXL458768:DXL458868 EHH458768:EHH458868 ERD458768:ERD458868 FAZ458768:FAZ458868 FKV458768:FKV458868 FUR458768:FUR458868 GEN458768:GEN458868 GOJ458768:GOJ458868 GYF458768:GYF458868 HIB458768:HIB458868 HRX458768:HRX458868 IBT458768:IBT458868 ILP458768:ILP458868 IVL458768:IVL458868 JFH458768:JFH458868 JPD458768:JPD458868 JYZ458768:JYZ458868 KIV458768:KIV458868 KSR458768:KSR458868 LCN458768:LCN458868 LMJ458768:LMJ458868 LWF458768:LWF458868 MGB458768:MGB458868 MPX458768:MPX458868 MZT458768:MZT458868 NJP458768:NJP458868 NTL458768:NTL458868 ODH458768:ODH458868 OND458768:OND458868 OWZ458768:OWZ458868 PGV458768:PGV458868 PQR458768:PQR458868 QAN458768:QAN458868 QKJ458768:QKJ458868 QUF458768:QUF458868 REB458768:REB458868 RNX458768:RNX458868 RXT458768:RXT458868 SHP458768:SHP458868 SRL458768:SRL458868 TBH458768:TBH458868 TLD458768:TLD458868 TUZ458768:TUZ458868 UEV458768:UEV458868 UOR458768:UOR458868 UYN458768:UYN458868 VIJ458768:VIJ458868 VSF458768:VSF458868 WCB458768:WCB458868 WLX458768:WLX458868 WVT458768:WVT458868 L524304:L524404 JH524304:JH524404 TD524304:TD524404 ACZ524304:ACZ524404 AMV524304:AMV524404 AWR524304:AWR524404 BGN524304:BGN524404 BQJ524304:BQJ524404 CAF524304:CAF524404 CKB524304:CKB524404 CTX524304:CTX524404 DDT524304:DDT524404 DNP524304:DNP524404 DXL524304:DXL524404 EHH524304:EHH524404 ERD524304:ERD524404 FAZ524304:FAZ524404 FKV524304:FKV524404 FUR524304:FUR524404 GEN524304:GEN524404 GOJ524304:GOJ524404 GYF524304:GYF524404 HIB524304:HIB524404 HRX524304:HRX524404 IBT524304:IBT524404 ILP524304:ILP524404 IVL524304:IVL524404 JFH524304:JFH524404 JPD524304:JPD524404 JYZ524304:JYZ524404 KIV524304:KIV524404 KSR524304:KSR524404 LCN524304:LCN524404 LMJ524304:LMJ524404 LWF524304:LWF524404 MGB524304:MGB524404 MPX524304:MPX524404 MZT524304:MZT524404 NJP524304:NJP524404 NTL524304:NTL524404 ODH524304:ODH524404 OND524304:OND524404 OWZ524304:OWZ524404 PGV524304:PGV524404 PQR524304:PQR524404 QAN524304:QAN524404 QKJ524304:QKJ524404 QUF524304:QUF524404 REB524304:REB524404 RNX524304:RNX524404 RXT524304:RXT524404 SHP524304:SHP524404 SRL524304:SRL524404 TBH524304:TBH524404 TLD524304:TLD524404 TUZ524304:TUZ524404 UEV524304:UEV524404 UOR524304:UOR524404 UYN524304:UYN524404 VIJ524304:VIJ524404 VSF524304:VSF524404 WCB524304:WCB524404 WLX524304:WLX524404 WVT524304:WVT524404 L589840:L589940 JH589840:JH589940 TD589840:TD589940 ACZ589840:ACZ589940 AMV589840:AMV589940 AWR589840:AWR589940 BGN589840:BGN589940 BQJ589840:BQJ589940 CAF589840:CAF589940 CKB589840:CKB589940 CTX589840:CTX589940 DDT589840:DDT589940 DNP589840:DNP589940 DXL589840:DXL589940 EHH589840:EHH589940 ERD589840:ERD589940 FAZ589840:FAZ589940 FKV589840:FKV589940 FUR589840:FUR589940 GEN589840:GEN589940 GOJ589840:GOJ589940 GYF589840:GYF589940 HIB589840:HIB589940 HRX589840:HRX589940 IBT589840:IBT589940 ILP589840:ILP589940 IVL589840:IVL589940 JFH589840:JFH589940 JPD589840:JPD589940 JYZ589840:JYZ589940 KIV589840:KIV589940 KSR589840:KSR589940 LCN589840:LCN589940 LMJ589840:LMJ589940 LWF589840:LWF589940 MGB589840:MGB589940 MPX589840:MPX589940 MZT589840:MZT589940 NJP589840:NJP589940 NTL589840:NTL589940 ODH589840:ODH589940 OND589840:OND589940 OWZ589840:OWZ589940 PGV589840:PGV589940 PQR589840:PQR589940 QAN589840:QAN589940 QKJ589840:QKJ589940 QUF589840:QUF589940 REB589840:REB589940 RNX589840:RNX589940 RXT589840:RXT589940 SHP589840:SHP589940 SRL589840:SRL589940 TBH589840:TBH589940 TLD589840:TLD589940 TUZ589840:TUZ589940 UEV589840:UEV589940 UOR589840:UOR589940 UYN589840:UYN589940 VIJ589840:VIJ589940 VSF589840:VSF589940 WCB589840:WCB589940 WLX589840:WLX589940 WVT589840:WVT589940 L655376:L655476 JH655376:JH655476 TD655376:TD655476 ACZ655376:ACZ655476 AMV655376:AMV655476 AWR655376:AWR655476 BGN655376:BGN655476 BQJ655376:BQJ655476 CAF655376:CAF655476 CKB655376:CKB655476 CTX655376:CTX655476 DDT655376:DDT655476 DNP655376:DNP655476 DXL655376:DXL655476 EHH655376:EHH655476 ERD655376:ERD655476 FAZ655376:FAZ655476 FKV655376:FKV655476 FUR655376:FUR655476 GEN655376:GEN655476 GOJ655376:GOJ655476 GYF655376:GYF655476 HIB655376:HIB655476 HRX655376:HRX655476 IBT655376:IBT655476 ILP655376:ILP655476 IVL655376:IVL655476 JFH655376:JFH655476 JPD655376:JPD655476 JYZ655376:JYZ655476 KIV655376:KIV655476 KSR655376:KSR655476 LCN655376:LCN655476 LMJ655376:LMJ655476 LWF655376:LWF655476 MGB655376:MGB655476 MPX655376:MPX655476 MZT655376:MZT655476 NJP655376:NJP655476 NTL655376:NTL655476 ODH655376:ODH655476 OND655376:OND655476 OWZ655376:OWZ655476 PGV655376:PGV655476 PQR655376:PQR655476 QAN655376:QAN655476 QKJ655376:QKJ655476 QUF655376:QUF655476 REB655376:REB655476 RNX655376:RNX655476 RXT655376:RXT655476 SHP655376:SHP655476 SRL655376:SRL655476 TBH655376:TBH655476 TLD655376:TLD655476 TUZ655376:TUZ655476 UEV655376:UEV655476 UOR655376:UOR655476 UYN655376:UYN655476 VIJ655376:VIJ655476 VSF655376:VSF655476 WCB655376:WCB655476 WLX655376:WLX655476 WVT655376:WVT655476 L720912:L721012 JH720912:JH721012 TD720912:TD721012 ACZ720912:ACZ721012 AMV720912:AMV721012 AWR720912:AWR721012 BGN720912:BGN721012 BQJ720912:BQJ721012 CAF720912:CAF721012 CKB720912:CKB721012 CTX720912:CTX721012 DDT720912:DDT721012 DNP720912:DNP721012 DXL720912:DXL721012 EHH720912:EHH721012 ERD720912:ERD721012 FAZ720912:FAZ721012 FKV720912:FKV721012 FUR720912:FUR721012 GEN720912:GEN721012 GOJ720912:GOJ721012 GYF720912:GYF721012 HIB720912:HIB721012 HRX720912:HRX721012 IBT720912:IBT721012 ILP720912:ILP721012 IVL720912:IVL721012 JFH720912:JFH721012 JPD720912:JPD721012 JYZ720912:JYZ721012 KIV720912:KIV721012 KSR720912:KSR721012 LCN720912:LCN721012 LMJ720912:LMJ721012 LWF720912:LWF721012 MGB720912:MGB721012 MPX720912:MPX721012 MZT720912:MZT721012 NJP720912:NJP721012 NTL720912:NTL721012 ODH720912:ODH721012 OND720912:OND721012 OWZ720912:OWZ721012 PGV720912:PGV721012 PQR720912:PQR721012 QAN720912:QAN721012 QKJ720912:QKJ721012 QUF720912:QUF721012 REB720912:REB721012 RNX720912:RNX721012 RXT720912:RXT721012 SHP720912:SHP721012 SRL720912:SRL721012 TBH720912:TBH721012 TLD720912:TLD721012 TUZ720912:TUZ721012 UEV720912:UEV721012 UOR720912:UOR721012 UYN720912:UYN721012 VIJ720912:VIJ721012 VSF720912:VSF721012 WCB720912:WCB721012 WLX720912:WLX721012 WVT720912:WVT721012 L786448:L786548 JH786448:JH786548 TD786448:TD786548 ACZ786448:ACZ786548 AMV786448:AMV786548 AWR786448:AWR786548 BGN786448:BGN786548 BQJ786448:BQJ786548 CAF786448:CAF786548 CKB786448:CKB786548 CTX786448:CTX786548 DDT786448:DDT786548 DNP786448:DNP786548 DXL786448:DXL786548 EHH786448:EHH786548 ERD786448:ERD786548 FAZ786448:FAZ786548 FKV786448:FKV786548 FUR786448:FUR786548 GEN786448:GEN786548 GOJ786448:GOJ786548 GYF786448:GYF786548 HIB786448:HIB786548 HRX786448:HRX786548 IBT786448:IBT786548 ILP786448:ILP786548 IVL786448:IVL786548 JFH786448:JFH786548 JPD786448:JPD786548 JYZ786448:JYZ786548 KIV786448:KIV786548 KSR786448:KSR786548 LCN786448:LCN786548 LMJ786448:LMJ786548 LWF786448:LWF786548 MGB786448:MGB786548 MPX786448:MPX786548 MZT786448:MZT786548 NJP786448:NJP786548 NTL786448:NTL786548 ODH786448:ODH786548 OND786448:OND786548 OWZ786448:OWZ786548 PGV786448:PGV786548 PQR786448:PQR786548 QAN786448:QAN786548 QKJ786448:QKJ786548 QUF786448:QUF786548 REB786448:REB786548 RNX786448:RNX786548 RXT786448:RXT786548 SHP786448:SHP786548 SRL786448:SRL786548 TBH786448:TBH786548 TLD786448:TLD786548 TUZ786448:TUZ786548 UEV786448:UEV786548 UOR786448:UOR786548 UYN786448:UYN786548 VIJ786448:VIJ786548 VSF786448:VSF786548 WCB786448:WCB786548 WLX786448:WLX786548 WVT786448:WVT786548 L851984:L852084 JH851984:JH852084 TD851984:TD852084 ACZ851984:ACZ852084 AMV851984:AMV852084 AWR851984:AWR852084 BGN851984:BGN852084 BQJ851984:BQJ852084 CAF851984:CAF852084 CKB851984:CKB852084 CTX851984:CTX852084 DDT851984:DDT852084 DNP851984:DNP852084 DXL851984:DXL852084 EHH851984:EHH852084 ERD851984:ERD852084 FAZ851984:FAZ852084 FKV851984:FKV852084 FUR851984:FUR852084 GEN851984:GEN852084 GOJ851984:GOJ852084 GYF851984:GYF852084 HIB851984:HIB852084 HRX851984:HRX852084 IBT851984:IBT852084 ILP851984:ILP852084 IVL851984:IVL852084 JFH851984:JFH852084 JPD851984:JPD852084 JYZ851984:JYZ852084 KIV851984:KIV852084 KSR851984:KSR852084 LCN851984:LCN852084 LMJ851984:LMJ852084 LWF851984:LWF852084 MGB851984:MGB852084 MPX851984:MPX852084 MZT851984:MZT852084 NJP851984:NJP852084 NTL851984:NTL852084 ODH851984:ODH852084 OND851984:OND852084 OWZ851984:OWZ852084 PGV851984:PGV852084 PQR851984:PQR852084 QAN851984:QAN852084 QKJ851984:QKJ852084 QUF851984:QUF852084 REB851984:REB852084 RNX851984:RNX852084 RXT851984:RXT852084 SHP851984:SHP852084 SRL851984:SRL852084 TBH851984:TBH852084 TLD851984:TLD852084 TUZ851984:TUZ852084 UEV851984:UEV852084 UOR851984:UOR852084 UYN851984:UYN852084 VIJ851984:VIJ852084 VSF851984:VSF852084 WCB851984:WCB852084 WLX851984:WLX852084 WVT851984:WVT852084 L917520:L917620 JH917520:JH917620 TD917520:TD917620 ACZ917520:ACZ917620 AMV917520:AMV917620 AWR917520:AWR917620 BGN917520:BGN917620 BQJ917520:BQJ917620 CAF917520:CAF917620 CKB917520:CKB917620 CTX917520:CTX917620 DDT917520:DDT917620 DNP917520:DNP917620 DXL917520:DXL917620 EHH917520:EHH917620 ERD917520:ERD917620 FAZ917520:FAZ917620 FKV917520:FKV917620 FUR917520:FUR917620 GEN917520:GEN917620 GOJ917520:GOJ917620 GYF917520:GYF917620 HIB917520:HIB917620 HRX917520:HRX917620 IBT917520:IBT917620 ILP917520:ILP917620 IVL917520:IVL917620 JFH917520:JFH917620 JPD917520:JPD917620 JYZ917520:JYZ917620 KIV917520:KIV917620 KSR917520:KSR917620 LCN917520:LCN917620 LMJ917520:LMJ917620 LWF917520:LWF917620 MGB917520:MGB917620 MPX917520:MPX917620 MZT917520:MZT917620 NJP917520:NJP917620 NTL917520:NTL917620 ODH917520:ODH917620 OND917520:OND917620 OWZ917520:OWZ917620 PGV917520:PGV917620 PQR917520:PQR917620 QAN917520:QAN917620 QKJ917520:QKJ917620 QUF917520:QUF917620 REB917520:REB917620 RNX917520:RNX917620 RXT917520:RXT917620 SHP917520:SHP917620 SRL917520:SRL917620 TBH917520:TBH917620 TLD917520:TLD917620 TUZ917520:TUZ917620 UEV917520:UEV917620 UOR917520:UOR917620 UYN917520:UYN917620 VIJ917520:VIJ917620 VSF917520:VSF917620 WCB917520:WCB917620 WLX917520:WLX917620 WVT917520:WVT917620 L983056:L983156 JH983056:JH983156 TD983056:TD983156 ACZ983056:ACZ983156 AMV983056:AMV983156 AWR983056:AWR983156 BGN983056:BGN983156 BQJ983056:BQJ983156 CAF983056:CAF983156 CKB983056:CKB983156 CTX983056:CTX983156 DDT983056:DDT983156 DNP983056:DNP983156 DXL983056:DXL983156 EHH983056:EHH983156 ERD983056:ERD983156 FAZ983056:FAZ983156 FKV983056:FKV983156 FUR983056:FUR983156 GEN983056:GEN983156 GOJ983056:GOJ983156 GYF983056:GYF983156 HIB983056:HIB983156 HRX983056:HRX983156 IBT983056:IBT983156 ILP983056:ILP983156 IVL983056:IVL983156 JFH983056:JFH983156 JPD983056:JPD983156 JYZ983056:JYZ983156 KIV983056:KIV983156 KSR983056:KSR983156 LCN983056:LCN983156 LMJ983056:LMJ983156 LWF983056:LWF983156 MGB983056:MGB983156 MPX983056:MPX983156 MZT983056:MZT983156 NJP983056:NJP983156 NTL983056:NTL983156 ODH983056:ODH983156 OND983056:OND983156 OWZ983056:OWZ983156 PGV983056:PGV983156 PQR983056:PQR983156 QAN983056:QAN983156 QKJ983056:QKJ983156 QUF983056:QUF983156 REB983056:REB983156 RNX983056:RNX983156 RXT983056:RXT983156 SHP983056:SHP983156 SRL983056:SRL983156 TBH983056:TBH983156 TLD983056:TLD983156 TUZ983056:TUZ983156 UEV983056:UEV983156 UOR983056:UOR983156 UYN983056:UYN983156 VIJ983056:VIJ983156 VSF983056:VSF983156 WCB983056:WCB983156 WVT12:WVT65 WLX12:WLX65 WCB12:WCB65 VSF12:VSF65 VIJ12:VIJ65 UYN12:UYN65 UOR12:UOR65 UEV12:UEV65 TUZ12:TUZ65 TLD12:TLD65 TBH12:TBH65 SRL12:SRL65 SHP12:SHP65 RXT12:RXT65 RNX12:RNX65 REB12:REB65 QUF12:QUF65 QKJ12:QKJ65 QAN12:QAN65 PQR12:PQR65 PGV12:PGV65 OWZ12:OWZ65 OND12:OND65 ODH12:ODH65 NTL12:NTL65 NJP12:NJP65 MZT12:MZT65 MPX12:MPX65 MGB12:MGB65 LWF12:LWF65 LMJ12:LMJ65 LCN12:LCN65 KSR12:KSR65 KIV12:KIV65 JYZ12:JYZ65 JPD12:JPD65 JFH12:JFH65 IVL12:IVL65 ILP12:ILP65 IBT12:IBT65 HRX12:HRX65 HIB12:HIB65 GYF12:GYF65 GOJ12:GOJ65 GEN12:GEN65 FUR12:FUR65 FKV12:FKV65 FAZ12:FAZ65 ERD12:ERD65 EHH12:EHH65 DXL12:DXL65 DNP12:DNP65 DDT12:DDT65 CTX12:CTX65 CKB12:CKB65 CAF12:CAF65 BQJ12:BQJ65 BGN12:BGN65 AWR12:AWR65 AMV12:AMV65 ACZ12:ACZ65 TD12:TD65 JH12:JH65 JH67:JH116" xr:uid="{735F008D-409F-441D-818D-5893FAA89D5B}">
      <formula1>$L$10</formula1>
    </dataValidation>
    <dataValidation type="whole" operator="lessThanOrEqual" allowBlank="1" showInputMessage="1" showErrorMessage="1" error="INPUT NUMBER LESS THAN OR EQUAL THE HIGHEST POSSIBLE SCORE" prompt="Input Raw Score" sqref="WVS983056:WVS983156 TC67:TC116 ACY67:ACY116 AMU67:AMU116 AWQ67:AWQ116 BGM67:BGM116 BQI67:BQI116 CAE67:CAE116 CKA67:CKA116 CTW67:CTW116 DDS67:DDS116 DNO67:DNO116 DXK67:DXK116 EHG67:EHG116 ERC67:ERC116 FAY67:FAY116 FKU67:FKU116 FUQ67:FUQ116 GEM67:GEM116 GOI67:GOI116 GYE67:GYE116 HIA67:HIA116 HRW67:HRW116 IBS67:IBS116 ILO67:ILO116 IVK67:IVK116 JFG67:JFG116 JPC67:JPC116 JYY67:JYY116 KIU67:KIU116 KSQ67:KSQ116 LCM67:LCM116 LMI67:LMI116 LWE67:LWE116 MGA67:MGA116 MPW67:MPW116 MZS67:MZS116 NJO67:NJO116 NTK67:NTK116 ODG67:ODG116 ONC67:ONC116 OWY67:OWY116 PGU67:PGU116 PQQ67:PQQ116 QAM67:QAM116 QKI67:QKI116 QUE67:QUE116 REA67:REA116 RNW67:RNW116 RXS67:RXS116 SHO67:SHO116 SRK67:SRK116 TBG67:TBG116 TLC67:TLC116 TUY67:TUY116 UEU67:UEU116 UOQ67:UOQ116 UYM67:UYM116 VII67:VII116 VSE67:VSE116 WCA67:WCA116 WLW67:WLW116 WVS67:WVS116 WLW983056:WLW983156 K65552:K65652 JG65552:JG65652 TC65552:TC65652 ACY65552:ACY65652 AMU65552:AMU65652 AWQ65552:AWQ65652 BGM65552:BGM65652 BQI65552:BQI65652 CAE65552:CAE65652 CKA65552:CKA65652 CTW65552:CTW65652 DDS65552:DDS65652 DNO65552:DNO65652 DXK65552:DXK65652 EHG65552:EHG65652 ERC65552:ERC65652 FAY65552:FAY65652 FKU65552:FKU65652 FUQ65552:FUQ65652 GEM65552:GEM65652 GOI65552:GOI65652 GYE65552:GYE65652 HIA65552:HIA65652 HRW65552:HRW65652 IBS65552:IBS65652 ILO65552:ILO65652 IVK65552:IVK65652 JFG65552:JFG65652 JPC65552:JPC65652 JYY65552:JYY65652 KIU65552:KIU65652 KSQ65552:KSQ65652 LCM65552:LCM65652 LMI65552:LMI65652 LWE65552:LWE65652 MGA65552:MGA65652 MPW65552:MPW65652 MZS65552:MZS65652 NJO65552:NJO65652 NTK65552:NTK65652 ODG65552:ODG65652 ONC65552:ONC65652 OWY65552:OWY65652 PGU65552:PGU65652 PQQ65552:PQQ65652 QAM65552:QAM65652 QKI65552:QKI65652 QUE65552:QUE65652 REA65552:REA65652 RNW65552:RNW65652 RXS65552:RXS65652 SHO65552:SHO65652 SRK65552:SRK65652 TBG65552:TBG65652 TLC65552:TLC65652 TUY65552:TUY65652 UEU65552:UEU65652 UOQ65552:UOQ65652 UYM65552:UYM65652 VII65552:VII65652 VSE65552:VSE65652 WCA65552:WCA65652 WLW65552:WLW65652 WVS65552:WVS65652 K131088:K131188 JG131088:JG131188 TC131088:TC131188 ACY131088:ACY131188 AMU131088:AMU131188 AWQ131088:AWQ131188 BGM131088:BGM131188 BQI131088:BQI131188 CAE131088:CAE131188 CKA131088:CKA131188 CTW131088:CTW131188 DDS131088:DDS131188 DNO131088:DNO131188 DXK131088:DXK131188 EHG131088:EHG131188 ERC131088:ERC131188 FAY131088:FAY131188 FKU131088:FKU131188 FUQ131088:FUQ131188 GEM131088:GEM131188 GOI131088:GOI131188 GYE131088:GYE131188 HIA131088:HIA131188 HRW131088:HRW131188 IBS131088:IBS131188 ILO131088:ILO131188 IVK131088:IVK131188 JFG131088:JFG131188 JPC131088:JPC131188 JYY131088:JYY131188 KIU131088:KIU131188 KSQ131088:KSQ131188 LCM131088:LCM131188 LMI131088:LMI131188 LWE131088:LWE131188 MGA131088:MGA131188 MPW131088:MPW131188 MZS131088:MZS131188 NJO131088:NJO131188 NTK131088:NTK131188 ODG131088:ODG131188 ONC131088:ONC131188 OWY131088:OWY131188 PGU131088:PGU131188 PQQ131088:PQQ131188 QAM131088:QAM131188 QKI131088:QKI131188 QUE131088:QUE131188 REA131088:REA131188 RNW131088:RNW131188 RXS131088:RXS131188 SHO131088:SHO131188 SRK131088:SRK131188 TBG131088:TBG131188 TLC131088:TLC131188 TUY131088:TUY131188 UEU131088:UEU131188 UOQ131088:UOQ131188 UYM131088:UYM131188 VII131088:VII131188 VSE131088:VSE131188 WCA131088:WCA131188 WLW131088:WLW131188 WVS131088:WVS131188 K196624:K196724 JG196624:JG196724 TC196624:TC196724 ACY196624:ACY196724 AMU196624:AMU196724 AWQ196624:AWQ196724 BGM196624:BGM196724 BQI196624:BQI196724 CAE196624:CAE196724 CKA196624:CKA196724 CTW196624:CTW196724 DDS196624:DDS196724 DNO196624:DNO196724 DXK196624:DXK196724 EHG196624:EHG196724 ERC196624:ERC196724 FAY196624:FAY196724 FKU196624:FKU196724 FUQ196624:FUQ196724 GEM196624:GEM196724 GOI196624:GOI196724 GYE196624:GYE196724 HIA196624:HIA196724 HRW196624:HRW196724 IBS196624:IBS196724 ILO196624:ILO196724 IVK196624:IVK196724 JFG196624:JFG196724 JPC196624:JPC196724 JYY196624:JYY196724 KIU196624:KIU196724 KSQ196624:KSQ196724 LCM196624:LCM196724 LMI196624:LMI196724 LWE196624:LWE196724 MGA196624:MGA196724 MPW196624:MPW196724 MZS196624:MZS196724 NJO196624:NJO196724 NTK196624:NTK196724 ODG196624:ODG196724 ONC196624:ONC196724 OWY196624:OWY196724 PGU196624:PGU196724 PQQ196624:PQQ196724 QAM196624:QAM196724 QKI196624:QKI196724 QUE196624:QUE196724 REA196624:REA196724 RNW196624:RNW196724 RXS196624:RXS196724 SHO196624:SHO196724 SRK196624:SRK196724 TBG196624:TBG196724 TLC196624:TLC196724 TUY196624:TUY196724 UEU196624:UEU196724 UOQ196624:UOQ196724 UYM196624:UYM196724 VII196624:VII196724 VSE196624:VSE196724 WCA196624:WCA196724 WLW196624:WLW196724 WVS196624:WVS196724 K262160:K262260 JG262160:JG262260 TC262160:TC262260 ACY262160:ACY262260 AMU262160:AMU262260 AWQ262160:AWQ262260 BGM262160:BGM262260 BQI262160:BQI262260 CAE262160:CAE262260 CKA262160:CKA262260 CTW262160:CTW262260 DDS262160:DDS262260 DNO262160:DNO262260 DXK262160:DXK262260 EHG262160:EHG262260 ERC262160:ERC262260 FAY262160:FAY262260 FKU262160:FKU262260 FUQ262160:FUQ262260 GEM262160:GEM262260 GOI262160:GOI262260 GYE262160:GYE262260 HIA262160:HIA262260 HRW262160:HRW262260 IBS262160:IBS262260 ILO262160:ILO262260 IVK262160:IVK262260 JFG262160:JFG262260 JPC262160:JPC262260 JYY262160:JYY262260 KIU262160:KIU262260 KSQ262160:KSQ262260 LCM262160:LCM262260 LMI262160:LMI262260 LWE262160:LWE262260 MGA262160:MGA262260 MPW262160:MPW262260 MZS262160:MZS262260 NJO262160:NJO262260 NTK262160:NTK262260 ODG262160:ODG262260 ONC262160:ONC262260 OWY262160:OWY262260 PGU262160:PGU262260 PQQ262160:PQQ262260 QAM262160:QAM262260 QKI262160:QKI262260 QUE262160:QUE262260 REA262160:REA262260 RNW262160:RNW262260 RXS262160:RXS262260 SHO262160:SHO262260 SRK262160:SRK262260 TBG262160:TBG262260 TLC262160:TLC262260 TUY262160:TUY262260 UEU262160:UEU262260 UOQ262160:UOQ262260 UYM262160:UYM262260 VII262160:VII262260 VSE262160:VSE262260 WCA262160:WCA262260 WLW262160:WLW262260 WVS262160:WVS262260 K327696:K327796 JG327696:JG327796 TC327696:TC327796 ACY327696:ACY327796 AMU327696:AMU327796 AWQ327696:AWQ327796 BGM327696:BGM327796 BQI327696:BQI327796 CAE327696:CAE327796 CKA327696:CKA327796 CTW327696:CTW327796 DDS327696:DDS327796 DNO327696:DNO327796 DXK327696:DXK327796 EHG327696:EHG327796 ERC327696:ERC327796 FAY327696:FAY327796 FKU327696:FKU327796 FUQ327696:FUQ327796 GEM327696:GEM327796 GOI327696:GOI327796 GYE327696:GYE327796 HIA327696:HIA327796 HRW327696:HRW327796 IBS327696:IBS327796 ILO327696:ILO327796 IVK327696:IVK327796 JFG327696:JFG327796 JPC327696:JPC327796 JYY327696:JYY327796 KIU327696:KIU327796 KSQ327696:KSQ327796 LCM327696:LCM327796 LMI327696:LMI327796 LWE327696:LWE327796 MGA327696:MGA327796 MPW327696:MPW327796 MZS327696:MZS327796 NJO327696:NJO327796 NTK327696:NTK327796 ODG327696:ODG327796 ONC327696:ONC327796 OWY327696:OWY327796 PGU327696:PGU327796 PQQ327696:PQQ327796 QAM327696:QAM327796 QKI327696:QKI327796 QUE327696:QUE327796 REA327696:REA327796 RNW327696:RNW327796 RXS327696:RXS327796 SHO327696:SHO327796 SRK327696:SRK327796 TBG327696:TBG327796 TLC327696:TLC327796 TUY327696:TUY327796 UEU327696:UEU327796 UOQ327696:UOQ327796 UYM327696:UYM327796 VII327696:VII327796 VSE327696:VSE327796 WCA327696:WCA327796 WLW327696:WLW327796 WVS327696:WVS327796 K393232:K393332 JG393232:JG393332 TC393232:TC393332 ACY393232:ACY393332 AMU393232:AMU393332 AWQ393232:AWQ393332 BGM393232:BGM393332 BQI393232:BQI393332 CAE393232:CAE393332 CKA393232:CKA393332 CTW393232:CTW393332 DDS393232:DDS393332 DNO393232:DNO393332 DXK393232:DXK393332 EHG393232:EHG393332 ERC393232:ERC393332 FAY393232:FAY393332 FKU393232:FKU393332 FUQ393232:FUQ393332 GEM393232:GEM393332 GOI393232:GOI393332 GYE393232:GYE393332 HIA393232:HIA393332 HRW393232:HRW393332 IBS393232:IBS393332 ILO393232:ILO393332 IVK393232:IVK393332 JFG393232:JFG393332 JPC393232:JPC393332 JYY393232:JYY393332 KIU393232:KIU393332 KSQ393232:KSQ393332 LCM393232:LCM393332 LMI393232:LMI393332 LWE393232:LWE393332 MGA393232:MGA393332 MPW393232:MPW393332 MZS393232:MZS393332 NJO393232:NJO393332 NTK393232:NTK393332 ODG393232:ODG393332 ONC393232:ONC393332 OWY393232:OWY393332 PGU393232:PGU393332 PQQ393232:PQQ393332 QAM393232:QAM393332 QKI393232:QKI393332 QUE393232:QUE393332 REA393232:REA393332 RNW393232:RNW393332 RXS393232:RXS393332 SHO393232:SHO393332 SRK393232:SRK393332 TBG393232:TBG393332 TLC393232:TLC393332 TUY393232:TUY393332 UEU393232:UEU393332 UOQ393232:UOQ393332 UYM393232:UYM393332 VII393232:VII393332 VSE393232:VSE393332 WCA393232:WCA393332 WLW393232:WLW393332 WVS393232:WVS393332 K458768:K458868 JG458768:JG458868 TC458768:TC458868 ACY458768:ACY458868 AMU458768:AMU458868 AWQ458768:AWQ458868 BGM458768:BGM458868 BQI458768:BQI458868 CAE458768:CAE458868 CKA458768:CKA458868 CTW458768:CTW458868 DDS458768:DDS458868 DNO458768:DNO458868 DXK458768:DXK458868 EHG458768:EHG458868 ERC458768:ERC458868 FAY458768:FAY458868 FKU458768:FKU458868 FUQ458768:FUQ458868 GEM458768:GEM458868 GOI458768:GOI458868 GYE458768:GYE458868 HIA458768:HIA458868 HRW458768:HRW458868 IBS458768:IBS458868 ILO458768:ILO458868 IVK458768:IVK458868 JFG458768:JFG458868 JPC458768:JPC458868 JYY458768:JYY458868 KIU458768:KIU458868 KSQ458768:KSQ458868 LCM458768:LCM458868 LMI458768:LMI458868 LWE458768:LWE458868 MGA458768:MGA458868 MPW458768:MPW458868 MZS458768:MZS458868 NJO458768:NJO458868 NTK458768:NTK458868 ODG458768:ODG458868 ONC458768:ONC458868 OWY458768:OWY458868 PGU458768:PGU458868 PQQ458768:PQQ458868 QAM458768:QAM458868 QKI458768:QKI458868 QUE458768:QUE458868 REA458768:REA458868 RNW458768:RNW458868 RXS458768:RXS458868 SHO458768:SHO458868 SRK458768:SRK458868 TBG458768:TBG458868 TLC458768:TLC458868 TUY458768:TUY458868 UEU458768:UEU458868 UOQ458768:UOQ458868 UYM458768:UYM458868 VII458768:VII458868 VSE458768:VSE458868 WCA458768:WCA458868 WLW458768:WLW458868 WVS458768:WVS458868 K524304:K524404 JG524304:JG524404 TC524304:TC524404 ACY524304:ACY524404 AMU524304:AMU524404 AWQ524304:AWQ524404 BGM524304:BGM524404 BQI524304:BQI524404 CAE524304:CAE524404 CKA524304:CKA524404 CTW524304:CTW524404 DDS524304:DDS524404 DNO524304:DNO524404 DXK524304:DXK524404 EHG524304:EHG524404 ERC524304:ERC524404 FAY524304:FAY524404 FKU524304:FKU524404 FUQ524304:FUQ524404 GEM524304:GEM524404 GOI524304:GOI524404 GYE524304:GYE524404 HIA524304:HIA524404 HRW524304:HRW524404 IBS524304:IBS524404 ILO524304:ILO524404 IVK524304:IVK524404 JFG524304:JFG524404 JPC524304:JPC524404 JYY524304:JYY524404 KIU524304:KIU524404 KSQ524304:KSQ524404 LCM524304:LCM524404 LMI524304:LMI524404 LWE524304:LWE524404 MGA524304:MGA524404 MPW524304:MPW524404 MZS524304:MZS524404 NJO524304:NJO524404 NTK524304:NTK524404 ODG524304:ODG524404 ONC524304:ONC524404 OWY524304:OWY524404 PGU524304:PGU524404 PQQ524304:PQQ524404 QAM524304:QAM524404 QKI524304:QKI524404 QUE524304:QUE524404 REA524304:REA524404 RNW524304:RNW524404 RXS524304:RXS524404 SHO524304:SHO524404 SRK524304:SRK524404 TBG524304:TBG524404 TLC524304:TLC524404 TUY524304:TUY524404 UEU524304:UEU524404 UOQ524304:UOQ524404 UYM524304:UYM524404 VII524304:VII524404 VSE524304:VSE524404 WCA524304:WCA524404 WLW524304:WLW524404 WVS524304:WVS524404 K589840:K589940 JG589840:JG589940 TC589840:TC589940 ACY589840:ACY589940 AMU589840:AMU589940 AWQ589840:AWQ589940 BGM589840:BGM589940 BQI589840:BQI589940 CAE589840:CAE589940 CKA589840:CKA589940 CTW589840:CTW589940 DDS589840:DDS589940 DNO589840:DNO589940 DXK589840:DXK589940 EHG589840:EHG589940 ERC589840:ERC589940 FAY589840:FAY589940 FKU589840:FKU589940 FUQ589840:FUQ589940 GEM589840:GEM589940 GOI589840:GOI589940 GYE589840:GYE589940 HIA589840:HIA589940 HRW589840:HRW589940 IBS589840:IBS589940 ILO589840:ILO589940 IVK589840:IVK589940 JFG589840:JFG589940 JPC589840:JPC589940 JYY589840:JYY589940 KIU589840:KIU589940 KSQ589840:KSQ589940 LCM589840:LCM589940 LMI589840:LMI589940 LWE589840:LWE589940 MGA589840:MGA589940 MPW589840:MPW589940 MZS589840:MZS589940 NJO589840:NJO589940 NTK589840:NTK589940 ODG589840:ODG589940 ONC589840:ONC589940 OWY589840:OWY589940 PGU589840:PGU589940 PQQ589840:PQQ589940 QAM589840:QAM589940 QKI589840:QKI589940 QUE589840:QUE589940 REA589840:REA589940 RNW589840:RNW589940 RXS589840:RXS589940 SHO589840:SHO589940 SRK589840:SRK589940 TBG589840:TBG589940 TLC589840:TLC589940 TUY589840:TUY589940 UEU589840:UEU589940 UOQ589840:UOQ589940 UYM589840:UYM589940 VII589840:VII589940 VSE589840:VSE589940 WCA589840:WCA589940 WLW589840:WLW589940 WVS589840:WVS589940 K655376:K655476 JG655376:JG655476 TC655376:TC655476 ACY655376:ACY655476 AMU655376:AMU655476 AWQ655376:AWQ655476 BGM655376:BGM655476 BQI655376:BQI655476 CAE655376:CAE655476 CKA655376:CKA655476 CTW655376:CTW655476 DDS655376:DDS655476 DNO655376:DNO655476 DXK655376:DXK655476 EHG655376:EHG655476 ERC655376:ERC655476 FAY655376:FAY655476 FKU655376:FKU655476 FUQ655376:FUQ655476 GEM655376:GEM655476 GOI655376:GOI655476 GYE655376:GYE655476 HIA655376:HIA655476 HRW655376:HRW655476 IBS655376:IBS655476 ILO655376:ILO655476 IVK655376:IVK655476 JFG655376:JFG655476 JPC655376:JPC655476 JYY655376:JYY655476 KIU655376:KIU655476 KSQ655376:KSQ655476 LCM655376:LCM655476 LMI655376:LMI655476 LWE655376:LWE655476 MGA655376:MGA655476 MPW655376:MPW655476 MZS655376:MZS655476 NJO655376:NJO655476 NTK655376:NTK655476 ODG655376:ODG655476 ONC655376:ONC655476 OWY655376:OWY655476 PGU655376:PGU655476 PQQ655376:PQQ655476 QAM655376:QAM655476 QKI655376:QKI655476 QUE655376:QUE655476 REA655376:REA655476 RNW655376:RNW655476 RXS655376:RXS655476 SHO655376:SHO655476 SRK655376:SRK655476 TBG655376:TBG655476 TLC655376:TLC655476 TUY655376:TUY655476 UEU655376:UEU655476 UOQ655376:UOQ655476 UYM655376:UYM655476 VII655376:VII655476 VSE655376:VSE655476 WCA655376:WCA655476 WLW655376:WLW655476 WVS655376:WVS655476 K720912:K721012 JG720912:JG721012 TC720912:TC721012 ACY720912:ACY721012 AMU720912:AMU721012 AWQ720912:AWQ721012 BGM720912:BGM721012 BQI720912:BQI721012 CAE720912:CAE721012 CKA720912:CKA721012 CTW720912:CTW721012 DDS720912:DDS721012 DNO720912:DNO721012 DXK720912:DXK721012 EHG720912:EHG721012 ERC720912:ERC721012 FAY720912:FAY721012 FKU720912:FKU721012 FUQ720912:FUQ721012 GEM720912:GEM721012 GOI720912:GOI721012 GYE720912:GYE721012 HIA720912:HIA721012 HRW720912:HRW721012 IBS720912:IBS721012 ILO720912:ILO721012 IVK720912:IVK721012 JFG720912:JFG721012 JPC720912:JPC721012 JYY720912:JYY721012 KIU720912:KIU721012 KSQ720912:KSQ721012 LCM720912:LCM721012 LMI720912:LMI721012 LWE720912:LWE721012 MGA720912:MGA721012 MPW720912:MPW721012 MZS720912:MZS721012 NJO720912:NJO721012 NTK720912:NTK721012 ODG720912:ODG721012 ONC720912:ONC721012 OWY720912:OWY721012 PGU720912:PGU721012 PQQ720912:PQQ721012 QAM720912:QAM721012 QKI720912:QKI721012 QUE720912:QUE721012 REA720912:REA721012 RNW720912:RNW721012 RXS720912:RXS721012 SHO720912:SHO721012 SRK720912:SRK721012 TBG720912:TBG721012 TLC720912:TLC721012 TUY720912:TUY721012 UEU720912:UEU721012 UOQ720912:UOQ721012 UYM720912:UYM721012 VII720912:VII721012 VSE720912:VSE721012 WCA720912:WCA721012 WLW720912:WLW721012 WVS720912:WVS721012 K786448:K786548 JG786448:JG786548 TC786448:TC786548 ACY786448:ACY786548 AMU786448:AMU786548 AWQ786448:AWQ786548 BGM786448:BGM786548 BQI786448:BQI786548 CAE786448:CAE786548 CKA786448:CKA786548 CTW786448:CTW786548 DDS786448:DDS786548 DNO786448:DNO786548 DXK786448:DXK786548 EHG786448:EHG786548 ERC786448:ERC786548 FAY786448:FAY786548 FKU786448:FKU786548 FUQ786448:FUQ786548 GEM786448:GEM786548 GOI786448:GOI786548 GYE786448:GYE786548 HIA786448:HIA786548 HRW786448:HRW786548 IBS786448:IBS786548 ILO786448:ILO786548 IVK786448:IVK786548 JFG786448:JFG786548 JPC786448:JPC786548 JYY786448:JYY786548 KIU786448:KIU786548 KSQ786448:KSQ786548 LCM786448:LCM786548 LMI786448:LMI786548 LWE786448:LWE786548 MGA786448:MGA786548 MPW786448:MPW786548 MZS786448:MZS786548 NJO786448:NJO786548 NTK786448:NTK786548 ODG786448:ODG786548 ONC786448:ONC786548 OWY786448:OWY786548 PGU786448:PGU786548 PQQ786448:PQQ786548 QAM786448:QAM786548 QKI786448:QKI786548 QUE786448:QUE786548 REA786448:REA786548 RNW786448:RNW786548 RXS786448:RXS786548 SHO786448:SHO786548 SRK786448:SRK786548 TBG786448:TBG786548 TLC786448:TLC786548 TUY786448:TUY786548 UEU786448:UEU786548 UOQ786448:UOQ786548 UYM786448:UYM786548 VII786448:VII786548 VSE786448:VSE786548 WCA786448:WCA786548 WLW786448:WLW786548 WVS786448:WVS786548 K851984:K852084 JG851984:JG852084 TC851984:TC852084 ACY851984:ACY852084 AMU851984:AMU852084 AWQ851984:AWQ852084 BGM851984:BGM852084 BQI851984:BQI852084 CAE851984:CAE852084 CKA851984:CKA852084 CTW851984:CTW852084 DDS851984:DDS852084 DNO851984:DNO852084 DXK851984:DXK852084 EHG851984:EHG852084 ERC851984:ERC852084 FAY851984:FAY852084 FKU851984:FKU852084 FUQ851984:FUQ852084 GEM851984:GEM852084 GOI851984:GOI852084 GYE851984:GYE852084 HIA851984:HIA852084 HRW851984:HRW852084 IBS851984:IBS852084 ILO851984:ILO852084 IVK851984:IVK852084 JFG851984:JFG852084 JPC851984:JPC852084 JYY851984:JYY852084 KIU851984:KIU852084 KSQ851984:KSQ852084 LCM851984:LCM852084 LMI851984:LMI852084 LWE851984:LWE852084 MGA851984:MGA852084 MPW851984:MPW852084 MZS851984:MZS852084 NJO851984:NJO852084 NTK851984:NTK852084 ODG851984:ODG852084 ONC851984:ONC852084 OWY851984:OWY852084 PGU851984:PGU852084 PQQ851984:PQQ852084 QAM851984:QAM852084 QKI851984:QKI852084 QUE851984:QUE852084 REA851984:REA852084 RNW851984:RNW852084 RXS851984:RXS852084 SHO851984:SHO852084 SRK851984:SRK852084 TBG851984:TBG852084 TLC851984:TLC852084 TUY851984:TUY852084 UEU851984:UEU852084 UOQ851984:UOQ852084 UYM851984:UYM852084 VII851984:VII852084 VSE851984:VSE852084 WCA851984:WCA852084 WLW851984:WLW852084 WVS851984:WVS852084 K917520:K917620 JG917520:JG917620 TC917520:TC917620 ACY917520:ACY917620 AMU917520:AMU917620 AWQ917520:AWQ917620 BGM917520:BGM917620 BQI917520:BQI917620 CAE917520:CAE917620 CKA917520:CKA917620 CTW917520:CTW917620 DDS917520:DDS917620 DNO917520:DNO917620 DXK917520:DXK917620 EHG917520:EHG917620 ERC917520:ERC917620 FAY917520:FAY917620 FKU917520:FKU917620 FUQ917520:FUQ917620 GEM917520:GEM917620 GOI917520:GOI917620 GYE917520:GYE917620 HIA917520:HIA917620 HRW917520:HRW917620 IBS917520:IBS917620 ILO917520:ILO917620 IVK917520:IVK917620 JFG917520:JFG917620 JPC917520:JPC917620 JYY917520:JYY917620 KIU917520:KIU917620 KSQ917520:KSQ917620 LCM917520:LCM917620 LMI917520:LMI917620 LWE917520:LWE917620 MGA917520:MGA917620 MPW917520:MPW917620 MZS917520:MZS917620 NJO917520:NJO917620 NTK917520:NTK917620 ODG917520:ODG917620 ONC917520:ONC917620 OWY917520:OWY917620 PGU917520:PGU917620 PQQ917520:PQQ917620 QAM917520:QAM917620 QKI917520:QKI917620 QUE917520:QUE917620 REA917520:REA917620 RNW917520:RNW917620 RXS917520:RXS917620 SHO917520:SHO917620 SRK917520:SRK917620 TBG917520:TBG917620 TLC917520:TLC917620 TUY917520:TUY917620 UEU917520:UEU917620 UOQ917520:UOQ917620 UYM917520:UYM917620 VII917520:VII917620 VSE917520:VSE917620 WCA917520:WCA917620 WLW917520:WLW917620 WVS917520:WVS917620 K983056:K983156 JG983056:JG983156 TC983056:TC983156 ACY983056:ACY983156 AMU983056:AMU983156 AWQ983056:AWQ983156 BGM983056:BGM983156 BQI983056:BQI983156 CAE983056:CAE983156 CKA983056:CKA983156 CTW983056:CTW983156 DDS983056:DDS983156 DNO983056:DNO983156 DXK983056:DXK983156 EHG983056:EHG983156 ERC983056:ERC983156 FAY983056:FAY983156 FKU983056:FKU983156 FUQ983056:FUQ983156 GEM983056:GEM983156 GOI983056:GOI983156 GYE983056:GYE983156 HIA983056:HIA983156 HRW983056:HRW983156 IBS983056:IBS983156 ILO983056:ILO983156 IVK983056:IVK983156 JFG983056:JFG983156 JPC983056:JPC983156 JYY983056:JYY983156 KIU983056:KIU983156 KSQ983056:KSQ983156 LCM983056:LCM983156 LMI983056:LMI983156 LWE983056:LWE983156 MGA983056:MGA983156 MPW983056:MPW983156 MZS983056:MZS983156 NJO983056:NJO983156 NTK983056:NTK983156 ODG983056:ODG983156 ONC983056:ONC983156 OWY983056:OWY983156 PGU983056:PGU983156 PQQ983056:PQQ983156 QAM983056:QAM983156 QKI983056:QKI983156 QUE983056:QUE983156 REA983056:REA983156 RNW983056:RNW983156 RXS983056:RXS983156 SHO983056:SHO983156 SRK983056:SRK983156 TBG983056:TBG983156 TLC983056:TLC983156 TUY983056:TUY983156 UEU983056:UEU983156 UOQ983056:UOQ983156 UYM983056:UYM983156 VII983056:VII983156 VSE983056:VSE983156 WCA983056:WCA983156 WVS12:WVS65 WLW12:WLW65 WCA12:WCA65 VSE12:VSE65 VII12:VII65 UYM12:UYM65 UOQ12:UOQ65 UEU12:UEU65 TUY12:TUY65 TLC12:TLC65 TBG12:TBG65 SRK12:SRK65 SHO12:SHO65 RXS12:RXS65 RNW12:RNW65 REA12:REA65 QUE12:QUE65 QKI12:QKI65 QAM12:QAM65 PQQ12:PQQ65 PGU12:PGU65 OWY12:OWY65 ONC12:ONC65 ODG12:ODG65 NTK12:NTK65 NJO12:NJO65 MZS12:MZS65 MPW12:MPW65 MGA12:MGA65 LWE12:LWE65 LMI12:LMI65 LCM12:LCM65 KSQ12:KSQ65 KIU12:KIU65 JYY12:JYY65 JPC12:JPC65 JFG12:JFG65 IVK12:IVK65 ILO12:ILO65 IBS12:IBS65 HRW12:HRW65 HIA12:HIA65 GYE12:GYE65 GOI12:GOI65 GEM12:GEM65 FUQ12:FUQ65 FKU12:FKU65 FAY12:FAY65 ERC12:ERC65 EHG12:EHG65 DXK12:DXK65 DNO12:DNO65 DDS12:DDS65 CTW12:CTW65 CKA12:CKA65 CAE12:CAE65 BQI12:BQI65 BGM12:BGM65 AWQ12:AWQ65 AMU12:AMU65 ACY12:ACY65 TC12:TC65 JG12:JG65 JG67:JG116" xr:uid="{569D5F0D-29DC-4922-B59B-5A76A1D198A2}">
      <formula1>$K$10</formula1>
    </dataValidation>
    <dataValidation type="whole" operator="lessThanOrEqual" allowBlank="1" showInputMessage="1" showErrorMessage="1" error="INPUT NUMBER LESS THAN OR EQUAL THE HIGHEST POSSIBLE SCORE" prompt="Input Raw Score" sqref="WVR983056:WVR983156 TB67:TB116 ACX67:ACX116 AMT67:AMT116 AWP67:AWP116 BGL67:BGL116 BQH67:BQH116 CAD67:CAD116 CJZ67:CJZ116 CTV67:CTV116 DDR67:DDR116 DNN67:DNN116 DXJ67:DXJ116 EHF67:EHF116 ERB67:ERB116 FAX67:FAX116 FKT67:FKT116 FUP67:FUP116 GEL67:GEL116 GOH67:GOH116 GYD67:GYD116 HHZ67:HHZ116 HRV67:HRV116 IBR67:IBR116 ILN67:ILN116 IVJ67:IVJ116 JFF67:JFF116 JPB67:JPB116 JYX67:JYX116 KIT67:KIT116 KSP67:KSP116 LCL67:LCL116 LMH67:LMH116 LWD67:LWD116 MFZ67:MFZ116 MPV67:MPV116 MZR67:MZR116 NJN67:NJN116 NTJ67:NTJ116 ODF67:ODF116 ONB67:ONB116 OWX67:OWX116 PGT67:PGT116 PQP67:PQP116 QAL67:QAL116 QKH67:QKH116 QUD67:QUD116 RDZ67:RDZ116 RNV67:RNV116 RXR67:RXR116 SHN67:SHN116 SRJ67:SRJ116 TBF67:TBF116 TLB67:TLB116 TUX67:TUX116 UET67:UET116 UOP67:UOP116 UYL67:UYL116 VIH67:VIH116 VSD67:VSD116 WBZ67:WBZ116 WLV67:WLV116 WVR67:WVR116 WLV983056:WLV983156 J65552:J65652 JF65552:JF65652 TB65552:TB65652 ACX65552:ACX65652 AMT65552:AMT65652 AWP65552:AWP65652 BGL65552:BGL65652 BQH65552:BQH65652 CAD65552:CAD65652 CJZ65552:CJZ65652 CTV65552:CTV65652 DDR65552:DDR65652 DNN65552:DNN65652 DXJ65552:DXJ65652 EHF65552:EHF65652 ERB65552:ERB65652 FAX65552:FAX65652 FKT65552:FKT65652 FUP65552:FUP65652 GEL65552:GEL65652 GOH65552:GOH65652 GYD65552:GYD65652 HHZ65552:HHZ65652 HRV65552:HRV65652 IBR65552:IBR65652 ILN65552:ILN65652 IVJ65552:IVJ65652 JFF65552:JFF65652 JPB65552:JPB65652 JYX65552:JYX65652 KIT65552:KIT65652 KSP65552:KSP65652 LCL65552:LCL65652 LMH65552:LMH65652 LWD65552:LWD65652 MFZ65552:MFZ65652 MPV65552:MPV65652 MZR65552:MZR65652 NJN65552:NJN65652 NTJ65552:NTJ65652 ODF65552:ODF65652 ONB65552:ONB65652 OWX65552:OWX65652 PGT65552:PGT65652 PQP65552:PQP65652 QAL65552:QAL65652 QKH65552:QKH65652 QUD65552:QUD65652 RDZ65552:RDZ65652 RNV65552:RNV65652 RXR65552:RXR65652 SHN65552:SHN65652 SRJ65552:SRJ65652 TBF65552:TBF65652 TLB65552:TLB65652 TUX65552:TUX65652 UET65552:UET65652 UOP65552:UOP65652 UYL65552:UYL65652 VIH65552:VIH65652 VSD65552:VSD65652 WBZ65552:WBZ65652 WLV65552:WLV65652 WVR65552:WVR65652 J131088:J131188 JF131088:JF131188 TB131088:TB131188 ACX131088:ACX131188 AMT131088:AMT131188 AWP131088:AWP131188 BGL131088:BGL131188 BQH131088:BQH131188 CAD131088:CAD131188 CJZ131088:CJZ131188 CTV131088:CTV131188 DDR131088:DDR131188 DNN131088:DNN131188 DXJ131088:DXJ131188 EHF131088:EHF131188 ERB131088:ERB131188 FAX131088:FAX131188 FKT131088:FKT131188 FUP131088:FUP131188 GEL131088:GEL131188 GOH131088:GOH131188 GYD131088:GYD131188 HHZ131088:HHZ131188 HRV131088:HRV131188 IBR131088:IBR131188 ILN131088:ILN131188 IVJ131088:IVJ131188 JFF131088:JFF131188 JPB131088:JPB131188 JYX131088:JYX131188 KIT131088:KIT131188 KSP131088:KSP131188 LCL131088:LCL131188 LMH131088:LMH131188 LWD131088:LWD131188 MFZ131088:MFZ131188 MPV131088:MPV131188 MZR131088:MZR131188 NJN131088:NJN131188 NTJ131088:NTJ131188 ODF131088:ODF131188 ONB131088:ONB131188 OWX131088:OWX131188 PGT131088:PGT131188 PQP131088:PQP131188 QAL131088:QAL131188 QKH131088:QKH131188 QUD131088:QUD131188 RDZ131088:RDZ131188 RNV131088:RNV131188 RXR131088:RXR131188 SHN131088:SHN131188 SRJ131088:SRJ131188 TBF131088:TBF131188 TLB131088:TLB131188 TUX131088:TUX131188 UET131088:UET131188 UOP131088:UOP131188 UYL131088:UYL131188 VIH131088:VIH131188 VSD131088:VSD131188 WBZ131088:WBZ131188 WLV131088:WLV131188 WVR131088:WVR131188 J196624:J196724 JF196624:JF196724 TB196624:TB196724 ACX196624:ACX196724 AMT196624:AMT196724 AWP196624:AWP196724 BGL196624:BGL196724 BQH196624:BQH196724 CAD196624:CAD196724 CJZ196624:CJZ196724 CTV196624:CTV196724 DDR196624:DDR196724 DNN196624:DNN196724 DXJ196624:DXJ196724 EHF196624:EHF196724 ERB196624:ERB196724 FAX196624:FAX196724 FKT196624:FKT196724 FUP196624:FUP196724 GEL196624:GEL196724 GOH196624:GOH196724 GYD196624:GYD196724 HHZ196624:HHZ196724 HRV196624:HRV196724 IBR196624:IBR196724 ILN196624:ILN196724 IVJ196624:IVJ196724 JFF196624:JFF196724 JPB196624:JPB196724 JYX196624:JYX196724 KIT196624:KIT196724 KSP196624:KSP196724 LCL196624:LCL196724 LMH196624:LMH196724 LWD196624:LWD196724 MFZ196624:MFZ196724 MPV196624:MPV196724 MZR196624:MZR196724 NJN196624:NJN196724 NTJ196624:NTJ196724 ODF196624:ODF196724 ONB196624:ONB196724 OWX196624:OWX196724 PGT196624:PGT196724 PQP196624:PQP196724 QAL196624:QAL196724 QKH196624:QKH196724 QUD196624:QUD196724 RDZ196624:RDZ196724 RNV196624:RNV196724 RXR196624:RXR196724 SHN196624:SHN196724 SRJ196624:SRJ196724 TBF196624:TBF196724 TLB196624:TLB196724 TUX196624:TUX196724 UET196624:UET196724 UOP196624:UOP196724 UYL196624:UYL196724 VIH196624:VIH196724 VSD196624:VSD196724 WBZ196624:WBZ196724 WLV196624:WLV196724 WVR196624:WVR196724 J262160:J262260 JF262160:JF262260 TB262160:TB262260 ACX262160:ACX262260 AMT262160:AMT262260 AWP262160:AWP262260 BGL262160:BGL262260 BQH262160:BQH262260 CAD262160:CAD262260 CJZ262160:CJZ262260 CTV262160:CTV262260 DDR262160:DDR262260 DNN262160:DNN262260 DXJ262160:DXJ262260 EHF262160:EHF262260 ERB262160:ERB262260 FAX262160:FAX262260 FKT262160:FKT262260 FUP262160:FUP262260 GEL262160:GEL262260 GOH262160:GOH262260 GYD262160:GYD262260 HHZ262160:HHZ262260 HRV262160:HRV262260 IBR262160:IBR262260 ILN262160:ILN262260 IVJ262160:IVJ262260 JFF262160:JFF262260 JPB262160:JPB262260 JYX262160:JYX262260 KIT262160:KIT262260 KSP262160:KSP262260 LCL262160:LCL262260 LMH262160:LMH262260 LWD262160:LWD262260 MFZ262160:MFZ262260 MPV262160:MPV262260 MZR262160:MZR262260 NJN262160:NJN262260 NTJ262160:NTJ262260 ODF262160:ODF262260 ONB262160:ONB262260 OWX262160:OWX262260 PGT262160:PGT262260 PQP262160:PQP262260 QAL262160:QAL262260 QKH262160:QKH262260 QUD262160:QUD262260 RDZ262160:RDZ262260 RNV262160:RNV262260 RXR262160:RXR262260 SHN262160:SHN262260 SRJ262160:SRJ262260 TBF262160:TBF262260 TLB262160:TLB262260 TUX262160:TUX262260 UET262160:UET262260 UOP262160:UOP262260 UYL262160:UYL262260 VIH262160:VIH262260 VSD262160:VSD262260 WBZ262160:WBZ262260 WLV262160:WLV262260 WVR262160:WVR262260 J327696:J327796 JF327696:JF327796 TB327696:TB327796 ACX327696:ACX327796 AMT327696:AMT327796 AWP327696:AWP327796 BGL327696:BGL327796 BQH327696:BQH327796 CAD327696:CAD327796 CJZ327696:CJZ327796 CTV327696:CTV327796 DDR327696:DDR327796 DNN327696:DNN327796 DXJ327696:DXJ327796 EHF327696:EHF327796 ERB327696:ERB327796 FAX327696:FAX327796 FKT327696:FKT327796 FUP327696:FUP327796 GEL327696:GEL327796 GOH327696:GOH327796 GYD327696:GYD327796 HHZ327696:HHZ327796 HRV327696:HRV327796 IBR327696:IBR327796 ILN327696:ILN327796 IVJ327696:IVJ327796 JFF327696:JFF327796 JPB327696:JPB327796 JYX327696:JYX327796 KIT327696:KIT327796 KSP327696:KSP327796 LCL327696:LCL327796 LMH327696:LMH327796 LWD327696:LWD327796 MFZ327696:MFZ327796 MPV327696:MPV327796 MZR327696:MZR327796 NJN327696:NJN327796 NTJ327696:NTJ327796 ODF327696:ODF327796 ONB327696:ONB327796 OWX327696:OWX327796 PGT327696:PGT327796 PQP327696:PQP327796 QAL327696:QAL327796 QKH327696:QKH327796 QUD327696:QUD327796 RDZ327696:RDZ327796 RNV327696:RNV327796 RXR327696:RXR327796 SHN327696:SHN327796 SRJ327696:SRJ327796 TBF327696:TBF327796 TLB327696:TLB327796 TUX327696:TUX327796 UET327696:UET327796 UOP327696:UOP327796 UYL327696:UYL327796 VIH327696:VIH327796 VSD327696:VSD327796 WBZ327696:WBZ327796 WLV327696:WLV327796 WVR327696:WVR327796 J393232:J393332 JF393232:JF393332 TB393232:TB393332 ACX393232:ACX393332 AMT393232:AMT393332 AWP393232:AWP393332 BGL393232:BGL393332 BQH393232:BQH393332 CAD393232:CAD393332 CJZ393232:CJZ393332 CTV393232:CTV393332 DDR393232:DDR393332 DNN393232:DNN393332 DXJ393232:DXJ393332 EHF393232:EHF393332 ERB393232:ERB393332 FAX393232:FAX393332 FKT393232:FKT393332 FUP393232:FUP393332 GEL393232:GEL393332 GOH393232:GOH393332 GYD393232:GYD393332 HHZ393232:HHZ393332 HRV393232:HRV393332 IBR393232:IBR393332 ILN393232:ILN393332 IVJ393232:IVJ393332 JFF393232:JFF393332 JPB393232:JPB393332 JYX393232:JYX393332 KIT393232:KIT393332 KSP393232:KSP393332 LCL393232:LCL393332 LMH393232:LMH393332 LWD393232:LWD393332 MFZ393232:MFZ393332 MPV393232:MPV393332 MZR393232:MZR393332 NJN393232:NJN393332 NTJ393232:NTJ393332 ODF393232:ODF393332 ONB393232:ONB393332 OWX393232:OWX393332 PGT393232:PGT393332 PQP393232:PQP393332 QAL393232:QAL393332 QKH393232:QKH393332 QUD393232:QUD393332 RDZ393232:RDZ393332 RNV393232:RNV393332 RXR393232:RXR393332 SHN393232:SHN393332 SRJ393232:SRJ393332 TBF393232:TBF393332 TLB393232:TLB393332 TUX393232:TUX393332 UET393232:UET393332 UOP393232:UOP393332 UYL393232:UYL393332 VIH393232:VIH393332 VSD393232:VSD393332 WBZ393232:WBZ393332 WLV393232:WLV393332 WVR393232:WVR393332 J458768:J458868 JF458768:JF458868 TB458768:TB458868 ACX458768:ACX458868 AMT458768:AMT458868 AWP458768:AWP458868 BGL458768:BGL458868 BQH458768:BQH458868 CAD458768:CAD458868 CJZ458768:CJZ458868 CTV458768:CTV458868 DDR458768:DDR458868 DNN458768:DNN458868 DXJ458768:DXJ458868 EHF458768:EHF458868 ERB458768:ERB458868 FAX458768:FAX458868 FKT458768:FKT458868 FUP458768:FUP458868 GEL458768:GEL458868 GOH458768:GOH458868 GYD458768:GYD458868 HHZ458768:HHZ458868 HRV458768:HRV458868 IBR458768:IBR458868 ILN458768:ILN458868 IVJ458768:IVJ458868 JFF458768:JFF458868 JPB458768:JPB458868 JYX458768:JYX458868 KIT458768:KIT458868 KSP458768:KSP458868 LCL458768:LCL458868 LMH458768:LMH458868 LWD458768:LWD458868 MFZ458768:MFZ458868 MPV458768:MPV458868 MZR458768:MZR458868 NJN458768:NJN458868 NTJ458768:NTJ458868 ODF458768:ODF458868 ONB458768:ONB458868 OWX458768:OWX458868 PGT458768:PGT458868 PQP458768:PQP458868 QAL458768:QAL458868 QKH458768:QKH458868 QUD458768:QUD458868 RDZ458768:RDZ458868 RNV458768:RNV458868 RXR458768:RXR458868 SHN458768:SHN458868 SRJ458768:SRJ458868 TBF458768:TBF458868 TLB458768:TLB458868 TUX458768:TUX458868 UET458768:UET458868 UOP458768:UOP458868 UYL458768:UYL458868 VIH458768:VIH458868 VSD458768:VSD458868 WBZ458768:WBZ458868 WLV458768:WLV458868 WVR458768:WVR458868 J524304:J524404 JF524304:JF524404 TB524304:TB524404 ACX524304:ACX524404 AMT524304:AMT524404 AWP524304:AWP524404 BGL524304:BGL524404 BQH524304:BQH524404 CAD524304:CAD524404 CJZ524304:CJZ524404 CTV524304:CTV524404 DDR524304:DDR524404 DNN524304:DNN524404 DXJ524304:DXJ524404 EHF524304:EHF524404 ERB524304:ERB524404 FAX524304:FAX524404 FKT524304:FKT524404 FUP524304:FUP524404 GEL524304:GEL524404 GOH524304:GOH524404 GYD524304:GYD524404 HHZ524304:HHZ524404 HRV524304:HRV524404 IBR524304:IBR524404 ILN524304:ILN524404 IVJ524304:IVJ524404 JFF524304:JFF524404 JPB524304:JPB524404 JYX524304:JYX524404 KIT524304:KIT524404 KSP524304:KSP524404 LCL524304:LCL524404 LMH524304:LMH524404 LWD524304:LWD524404 MFZ524304:MFZ524404 MPV524304:MPV524404 MZR524304:MZR524404 NJN524304:NJN524404 NTJ524304:NTJ524404 ODF524304:ODF524404 ONB524304:ONB524404 OWX524304:OWX524404 PGT524304:PGT524404 PQP524304:PQP524404 QAL524304:QAL524404 QKH524304:QKH524404 QUD524304:QUD524404 RDZ524304:RDZ524404 RNV524304:RNV524404 RXR524304:RXR524404 SHN524304:SHN524404 SRJ524304:SRJ524404 TBF524304:TBF524404 TLB524304:TLB524404 TUX524304:TUX524404 UET524304:UET524404 UOP524304:UOP524404 UYL524304:UYL524404 VIH524304:VIH524404 VSD524304:VSD524404 WBZ524304:WBZ524404 WLV524304:WLV524404 WVR524304:WVR524404 J589840:J589940 JF589840:JF589940 TB589840:TB589940 ACX589840:ACX589940 AMT589840:AMT589940 AWP589840:AWP589940 BGL589840:BGL589940 BQH589840:BQH589940 CAD589840:CAD589940 CJZ589840:CJZ589940 CTV589840:CTV589940 DDR589840:DDR589940 DNN589840:DNN589940 DXJ589840:DXJ589940 EHF589840:EHF589940 ERB589840:ERB589940 FAX589840:FAX589940 FKT589840:FKT589940 FUP589840:FUP589940 GEL589840:GEL589940 GOH589840:GOH589940 GYD589840:GYD589940 HHZ589840:HHZ589940 HRV589840:HRV589940 IBR589840:IBR589940 ILN589840:ILN589940 IVJ589840:IVJ589940 JFF589840:JFF589940 JPB589840:JPB589940 JYX589840:JYX589940 KIT589840:KIT589940 KSP589840:KSP589940 LCL589840:LCL589940 LMH589840:LMH589940 LWD589840:LWD589940 MFZ589840:MFZ589940 MPV589840:MPV589940 MZR589840:MZR589940 NJN589840:NJN589940 NTJ589840:NTJ589940 ODF589840:ODF589940 ONB589840:ONB589940 OWX589840:OWX589940 PGT589840:PGT589940 PQP589840:PQP589940 QAL589840:QAL589940 QKH589840:QKH589940 QUD589840:QUD589940 RDZ589840:RDZ589940 RNV589840:RNV589940 RXR589840:RXR589940 SHN589840:SHN589940 SRJ589840:SRJ589940 TBF589840:TBF589940 TLB589840:TLB589940 TUX589840:TUX589940 UET589840:UET589940 UOP589840:UOP589940 UYL589840:UYL589940 VIH589840:VIH589940 VSD589840:VSD589940 WBZ589840:WBZ589940 WLV589840:WLV589940 WVR589840:WVR589940 J655376:J655476 JF655376:JF655476 TB655376:TB655476 ACX655376:ACX655476 AMT655376:AMT655476 AWP655376:AWP655476 BGL655376:BGL655476 BQH655376:BQH655476 CAD655376:CAD655476 CJZ655376:CJZ655476 CTV655376:CTV655476 DDR655376:DDR655476 DNN655376:DNN655476 DXJ655376:DXJ655476 EHF655376:EHF655476 ERB655376:ERB655476 FAX655376:FAX655476 FKT655376:FKT655476 FUP655376:FUP655476 GEL655376:GEL655476 GOH655376:GOH655476 GYD655376:GYD655476 HHZ655376:HHZ655476 HRV655376:HRV655476 IBR655376:IBR655476 ILN655376:ILN655476 IVJ655376:IVJ655476 JFF655376:JFF655476 JPB655376:JPB655476 JYX655376:JYX655476 KIT655376:KIT655476 KSP655376:KSP655476 LCL655376:LCL655476 LMH655376:LMH655476 LWD655376:LWD655476 MFZ655376:MFZ655476 MPV655376:MPV655476 MZR655376:MZR655476 NJN655376:NJN655476 NTJ655376:NTJ655476 ODF655376:ODF655476 ONB655376:ONB655476 OWX655376:OWX655476 PGT655376:PGT655476 PQP655376:PQP655476 QAL655376:QAL655476 QKH655376:QKH655476 QUD655376:QUD655476 RDZ655376:RDZ655476 RNV655376:RNV655476 RXR655376:RXR655476 SHN655376:SHN655476 SRJ655376:SRJ655476 TBF655376:TBF655476 TLB655376:TLB655476 TUX655376:TUX655476 UET655376:UET655476 UOP655376:UOP655476 UYL655376:UYL655476 VIH655376:VIH655476 VSD655376:VSD655476 WBZ655376:WBZ655476 WLV655376:WLV655476 WVR655376:WVR655476 J720912:J721012 JF720912:JF721012 TB720912:TB721012 ACX720912:ACX721012 AMT720912:AMT721012 AWP720912:AWP721012 BGL720912:BGL721012 BQH720912:BQH721012 CAD720912:CAD721012 CJZ720912:CJZ721012 CTV720912:CTV721012 DDR720912:DDR721012 DNN720912:DNN721012 DXJ720912:DXJ721012 EHF720912:EHF721012 ERB720912:ERB721012 FAX720912:FAX721012 FKT720912:FKT721012 FUP720912:FUP721012 GEL720912:GEL721012 GOH720912:GOH721012 GYD720912:GYD721012 HHZ720912:HHZ721012 HRV720912:HRV721012 IBR720912:IBR721012 ILN720912:ILN721012 IVJ720912:IVJ721012 JFF720912:JFF721012 JPB720912:JPB721012 JYX720912:JYX721012 KIT720912:KIT721012 KSP720912:KSP721012 LCL720912:LCL721012 LMH720912:LMH721012 LWD720912:LWD721012 MFZ720912:MFZ721012 MPV720912:MPV721012 MZR720912:MZR721012 NJN720912:NJN721012 NTJ720912:NTJ721012 ODF720912:ODF721012 ONB720912:ONB721012 OWX720912:OWX721012 PGT720912:PGT721012 PQP720912:PQP721012 QAL720912:QAL721012 QKH720912:QKH721012 QUD720912:QUD721012 RDZ720912:RDZ721012 RNV720912:RNV721012 RXR720912:RXR721012 SHN720912:SHN721012 SRJ720912:SRJ721012 TBF720912:TBF721012 TLB720912:TLB721012 TUX720912:TUX721012 UET720912:UET721012 UOP720912:UOP721012 UYL720912:UYL721012 VIH720912:VIH721012 VSD720912:VSD721012 WBZ720912:WBZ721012 WLV720912:WLV721012 WVR720912:WVR721012 J786448:J786548 JF786448:JF786548 TB786448:TB786548 ACX786448:ACX786548 AMT786448:AMT786548 AWP786448:AWP786548 BGL786448:BGL786548 BQH786448:BQH786548 CAD786448:CAD786548 CJZ786448:CJZ786548 CTV786448:CTV786548 DDR786448:DDR786548 DNN786448:DNN786548 DXJ786448:DXJ786548 EHF786448:EHF786548 ERB786448:ERB786548 FAX786448:FAX786548 FKT786448:FKT786548 FUP786448:FUP786548 GEL786448:GEL786548 GOH786448:GOH786548 GYD786448:GYD786548 HHZ786448:HHZ786548 HRV786448:HRV786548 IBR786448:IBR786548 ILN786448:ILN786548 IVJ786448:IVJ786548 JFF786448:JFF786548 JPB786448:JPB786548 JYX786448:JYX786548 KIT786448:KIT786548 KSP786448:KSP786548 LCL786448:LCL786548 LMH786448:LMH786548 LWD786448:LWD786548 MFZ786448:MFZ786548 MPV786448:MPV786548 MZR786448:MZR786548 NJN786448:NJN786548 NTJ786448:NTJ786548 ODF786448:ODF786548 ONB786448:ONB786548 OWX786448:OWX786548 PGT786448:PGT786548 PQP786448:PQP786548 QAL786448:QAL786548 QKH786448:QKH786548 QUD786448:QUD786548 RDZ786448:RDZ786548 RNV786448:RNV786548 RXR786448:RXR786548 SHN786448:SHN786548 SRJ786448:SRJ786548 TBF786448:TBF786548 TLB786448:TLB786548 TUX786448:TUX786548 UET786448:UET786548 UOP786448:UOP786548 UYL786448:UYL786548 VIH786448:VIH786548 VSD786448:VSD786548 WBZ786448:WBZ786548 WLV786448:WLV786548 WVR786448:WVR786548 J851984:J852084 JF851984:JF852084 TB851984:TB852084 ACX851984:ACX852084 AMT851984:AMT852084 AWP851984:AWP852084 BGL851984:BGL852084 BQH851984:BQH852084 CAD851984:CAD852084 CJZ851984:CJZ852084 CTV851984:CTV852084 DDR851984:DDR852084 DNN851984:DNN852084 DXJ851984:DXJ852084 EHF851984:EHF852084 ERB851984:ERB852084 FAX851984:FAX852084 FKT851984:FKT852084 FUP851984:FUP852084 GEL851984:GEL852084 GOH851984:GOH852084 GYD851984:GYD852084 HHZ851984:HHZ852084 HRV851984:HRV852084 IBR851984:IBR852084 ILN851984:ILN852084 IVJ851984:IVJ852084 JFF851984:JFF852084 JPB851984:JPB852084 JYX851984:JYX852084 KIT851984:KIT852084 KSP851984:KSP852084 LCL851984:LCL852084 LMH851984:LMH852084 LWD851984:LWD852084 MFZ851984:MFZ852084 MPV851984:MPV852084 MZR851984:MZR852084 NJN851984:NJN852084 NTJ851984:NTJ852084 ODF851984:ODF852084 ONB851984:ONB852084 OWX851984:OWX852084 PGT851984:PGT852084 PQP851984:PQP852084 QAL851984:QAL852084 QKH851984:QKH852084 QUD851984:QUD852084 RDZ851984:RDZ852084 RNV851984:RNV852084 RXR851984:RXR852084 SHN851984:SHN852084 SRJ851984:SRJ852084 TBF851984:TBF852084 TLB851984:TLB852084 TUX851984:TUX852084 UET851984:UET852084 UOP851984:UOP852084 UYL851984:UYL852084 VIH851984:VIH852084 VSD851984:VSD852084 WBZ851984:WBZ852084 WLV851984:WLV852084 WVR851984:WVR852084 J917520:J917620 JF917520:JF917620 TB917520:TB917620 ACX917520:ACX917620 AMT917520:AMT917620 AWP917520:AWP917620 BGL917520:BGL917620 BQH917520:BQH917620 CAD917520:CAD917620 CJZ917520:CJZ917620 CTV917520:CTV917620 DDR917520:DDR917620 DNN917520:DNN917620 DXJ917520:DXJ917620 EHF917520:EHF917620 ERB917520:ERB917620 FAX917520:FAX917620 FKT917520:FKT917620 FUP917520:FUP917620 GEL917520:GEL917620 GOH917520:GOH917620 GYD917520:GYD917620 HHZ917520:HHZ917620 HRV917520:HRV917620 IBR917520:IBR917620 ILN917520:ILN917620 IVJ917520:IVJ917620 JFF917520:JFF917620 JPB917520:JPB917620 JYX917520:JYX917620 KIT917520:KIT917620 KSP917520:KSP917620 LCL917520:LCL917620 LMH917520:LMH917620 LWD917520:LWD917620 MFZ917520:MFZ917620 MPV917520:MPV917620 MZR917520:MZR917620 NJN917520:NJN917620 NTJ917520:NTJ917620 ODF917520:ODF917620 ONB917520:ONB917620 OWX917520:OWX917620 PGT917520:PGT917620 PQP917520:PQP917620 QAL917520:QAL917620 QKH917520:QKH917620 QUD917520:QUD917620 RDZ917520:RDZ917620 RNV917520:RNV917620 RXR917520:RXR917620 SHN917520:SHN917620 SRJ917520:SRJ917620 TBF917520:TBF917620 TLB917520:TLB917620 TUX917520:TUX917620 UET917520:UET917620 UOP917520:UOP917620 UYL917520:UYL917620 VIH917520:VIH917620 VSD917520:VSD917620 WBZ917520:WBZ917620 WLV917520:WLV917620 WVR917520:WVR917620 J983056:J983156 JF983056:JF983156 TB983056:TB983156 ACX983056:ACX983156 AMT983056:AMT983156 AWP983056:AWP983156 BGL983056:BGL983156 BQH983056:BQH983156 CAD983056:CAD983156 CJZ983056:CJZ983156 CTV983056:CTV983156 DDR983056:DDR983156 DNN983056:DNN983156 DXJ983056:DXJ983156 EHF983056:EHF983156 ERB983056:ERB983156 FAX983056:FAX983156 FKT983056:FKT983156 FUP983056:FUP983156 GEL983056:GEL983156 GOH983056:GOH983156 GYD983056:GYD983156 HHZ983056:HHZ983156 HRV983056:HRV983156 IBR983056:IBR983156 ILN983056:ILN983156 IVJ983056:IVJ983156 JFF983056:JFF983156 JPB983056:JPB983156 JYX983056:JYX983156 KIT983056:KIT983156 KSP983056:KSP983156 LCL983056:LCL983156 LMH983056:LMH983156 LWD983056:LWD983156 MFZ983056:MFZ983156 MPV983056:MPV983156 MZR983056:MZR983156 NJN983056:NJN983156 NTJ983056:NTJ983156 ODF983056:ODF983156 ONB983056:ONB983156 OWX983056:OWX983156 PGT983056:PGT983156 PQP983056:PQP983156 QAL983056:QAL983156 QKH983056:QKH983156 QUD983056:QUD983156 RDZ983056:RDZ983156 RNV983056:RNV983156 RXR983056:RXR983156 SHN983056:SHN983156 SRJ983056:SRJ983156 TBF983056:TBF983156 TLB983056:TLB983156 TUX983056:TUX983156 UET983056:UET983156 UOP983056:UOP983156 UYL983056:UYL983156 VIH983056:VIH983156 VSD983056:VSD983156 WBZ983056:WBZ983156 WVR12:WVR65 WLV12:WLV65 WBZ12:WBZ65 VSD12:VSD65 VIH12:VIH65 UYL12:UYL65 UOP12:UOP65 UET12:UET65 TUX12:TUX65 TLB12:TLB65 TBF12:TBF65 SRJ12:SRJ65 SHN12:SHN65 RXR12:RXR65 RNV12:RNV65 RDZ12:RDZ65 QUD12:QUD65 QKH12:QKH65 QAL12:QAL65 PQP12:PQP65 PGT12:PGT65 OWX12:OWX65 ONB12:ONB65 ODF12:ODF65 NTJ12:NTJ65 NJN12:NJN65 MZR12:MZR65 MPV12:MPV65 MFZ12:MFZ65 LWD12:LWD65 LMH12:LMH65 LCL12:LCL65 KSP12:KSP65 KIT12:KIT65 JYX12:JYX65 JPB12:JPB65 JFF12:JFF65 IVJ12:IVJ65 ILN12:ILN65 IBR12:IBR65 HRV12:HRV65 HHZ12:HHZ65 GYD12:GYD65 GOH12:GOH65 GEL12:GEL65 FUP12:FUP65 FKT12:FKT65 FAX12:FAX65 ERB12:ERB65 EHF12:EHF65 DXJ12:DXJ65 DNN12:DNN65 DDR12:DDR65 CTV12:CTV65 CJZ12:CJZ65 CAD12:CAD65 BQH12:BQH65 BGL12:BGL65 AWP12:AWP65 AMT12:AMT65 ACX12:ACX65 TB12:TB65 JF12:JF65 JF67:JF116" xr:uid="{FBD6D31C-C1FF-422D-9213-9DF4FD4C0D24}">
      <formula1>$J$10</formula1>
    </dataValidation>
    <dataValidation type="whole" operator="lessThanOrEqual" allowBlank="1" showInputMessage="1" showErrorMessage="1" error="INPUT NUMBER LESS THAN OR EQUAL THE HIGHEST POSSIBLE SCORE" prompt="Input Raw Score" sqref="WVQ983056:WVQ983156 TA67:TA116 ACW67:ACW116 AMS67:AMS116 AWO67:AWO116 BGK67:BGK116 BQG67:BQG116 CAC67:CAC116 CJY67:CJY116 CTU67:CTU116 DDQ67:DDQ116 DNM67:DNM116 DXI67:DXI116 EHE67:EHE116 ERA67:ERA116 FAW67:FAW116 FKS67:FKS116 FUO67:FUO116 GEK67:GEK116 GOG67:GOG116 GYC67:GYC116 HHY67:HHY116 HRU67:HRU116 IBQ67:IBQ116 ILM67:ILM116 IVI67:IVI116 JFE67:JFE116 JPA67:JPA116 JYW67:JYW116 KIS67:KIS116 KSO67:KSO116 LCK67:LCK116 LMG67:LMG116 LWC67:LWC116 MFY67:MFY116 MPU67:MPU116 MZQ67:MZQ116 NJM67:NJM116 NTI67:NTI116 ODE67:ODE116 ONA67:ONA116 OWW67:OWW116 PGS67:PGS116 PQO67:PQO116 QAK67:QAK116 QKG67:QKG116 QUC67:QUC116 RDY67:RDY116 RNU67:RNU116 RXQ67:RXQ116 SHM67:SHM116 SRI67:SRI116 TBE67:TBE116 TLA67:TLA116 TUW67:TUW116 UES67:UES116 UOO67:UOO116 UYK67:UYK116 VIG67:VIG116 VSC67:VSC116 WBY67:WBY116 WLU67:WLU116 WVQ67:WVQ116 WLU983056:WLU983156 I65552:I65652 JE65552:JE65652 TA65552:TA65652 ACW65552:ACW65652 AMS65552:AMS65652 AWO65552:AWO65652 BGK65552:BGK65652 BQG65552:BQG65652 CAC65552:CAC65652 CJY65552:CJY65652 CTU65552:CTU65652 DDQ65552:DDQ65652 DNM65552:DNM65652 DXI65552:DXI65652 EHE65552:EHE65652 ERA65552:ERA65652 FAW65552:FAW65652 FKS65552:FKS65652 FUO65552:FUO65652 GEK65552:GEK65652 GOG65552:GOG65652 GYC65552:GYC65652 HHY65552:HHY65652 HRU65552:HRU65652 IBQ65552:IBQ65652 ILM65552:ILM65652 IVI65552:IVI65652 JFE65552:JFE65652 JPA65552:JPA65652 JYW65552:JYW65652 KIS65552:KIS65652 KSO65552:KSO65652 LCK65552:LCK65652 LMG65552:LMG65652 LWC65552:LWC65652 MFY65552:MFY65652 MPU65552:MPU65652 MZQ65552:MZQ65652 NJM65552:NJM65652 NTI65552:NTI65652 ODE65552:ODE65652 ONA65552:ONA65652 OWW65552:OWW65652 PGS65552:PGS65652 PQO65552:PQO65652 QAK65552:QAK65652 QKG65552:QKG65652 QUC65552:QUC65652 RDY65552:RDY65652 RNU65552:RNU65652 RXQ65552:RXQ65652 SHM65552:SHM65652 SRI65552:SRI65652 TBE65552:TBE65652 TLA65552:TLA65652 TUW65552:TUW65652 UES65552:UES65652 UOO65552:UOO65652 UYK65552:UYK65652 VIG65552:VIG65652 VSC65552:VSC65652 WBY65552:WBY65652 WLU65552:WLU65652 WVQ65552:WVQ65652 I131088:I131188 JE131088:JE131188 TA131088:TA131188 ACW131088:ACW131188 AMS131088:AMS131188 AWO131088:AWO131188 BGK131088:BGK131188 BQG131088:BQG131188 CAC131088:CAC131188 CJY131088:CJY131188 CTU131088:CTU131188 DDQ131088:DDQ131188 DNM131088:DNM131188 DXI131088:DXI131188 EHE131088:EHE131188 ERA131088:ERA131188 FAW131088:FAW131188 FKS131088:FKS131188 FUO131088:FUO131188 GEK131088:GEK131188 GOG131088:GOG131188 GYC131088:GYC131188 HHY131088:HHY131188 HRU131088:HRU131188 IBQ131088:IBQ131188 ILM131088:ILM131188 IVI131088:IVI131188 JFE131088:JFE131188 JPA131088:JPA131188 JYW131088:JYW131188 KIS131088:KIS131188 KSO131088:KSO131188 LCK131088:LCK131188 LMG131088:LMG131188 LWC131088:LWC131188 MFY131088:MFY131188 MPU131088:MPU131188 MZQ131088:MZQ131188 NJM131088:NJM131188 NTI131088:NTI131188 ODE131088:ODE131188 ONA131088:ONA131188 OWW131088:OWW131188 PGS131088:PGS131188 PQO131088:PQO131188 QAK131088:QAK131188 QKG131088:QKG131188 QUC131088:QUC131188 RDY131088:RDY131188 RNU131088:RNU131188 RXQ131088:RXQ131188 SHM131088:SHM131188 SRI131088:SRI131188 TBE131088:TBE131188 TLA131088:TLA131188 TUW131088:TUW131188 UES131088:UES131188 UOO131088:UOO131188 UYK131088:UYK131188 VIG131088:VIG131188 VSC131088:VSC131188 WBY131088:WBY131188 WLU131088:WLU131188 WVQ131088:WVQ131188 I196624:I196724 JE196624:JE196724 TA196624:TA196724 ACW196624:ACW196724 AMS196624:AMS196724 AWO196624:AWO196724 BGK196624:BGK196724 BQG196624:BQG196724 CAC196624:CAC196724 CJY196624:CJY196724 CTU196624:CTU196724 DDQ196624:DDQ196724 DNM196624:DNM196724 DXI196624:DXI196724 EHE196624:EHE196724 ERA196624:ERA196724 FAW196624:FAW196724 FKS196624:FKS196724 FUO196624:FUO196724 GEK196624:GEK196724 GOG196624:GOG196724 GYC196624:GYC196724 HHY196624:HHY196724 HRU196624:HRU196724 IBQ196624:IBQ196724 ILM196624:ILM196724 IVI196624:IVI196724 JFE196624:JFE196724 JPA196624:JPA196724 JYW196624:JYW196724 KIS196624:KIS196724 KSO196624:KSO196724 LCK196624:LCK196724 LMG196624:LMG196724 LWC196624:LWC196724 MFY196624:MFY196724 MPU196624:MPU196724 MZQ196624:MZQ196724 NJM196624:NJM196724 NTI196624:NTI196724 ODE196624:ODE196724 ONA196624:ONA196724 OWW196624:OWW196724 PGS196624:PGS196724 PQO196624:PQO196724 QAK196624:QAK196724 QKG196624:QKG196724 QUC196624:QUC196724 RDY196624:RDY196724 RNU196624:RNU196724 RXQ196624:RXQ196724 SHM196624:SHM196724 SRI196624:SRI196724 TBE196624:TBE196724 TLA196624:TLA196724 TUW196624:TUW196724 UES196624:UES196724 UOO196624:UOO196724 UYK196624:UYK196724 VIG196624:VIG196724 VSC196624:VSC196724 WBY196624:WBY196724 WLU196624:WLU196724 WVQ196624:WVQ196724 I262160:I262260 JE262160:JE262260 TA262160:TA262260 ACW262160:ACW262260 AMS262160:AMS262260 AWO262160:AWO262260 BGK262160:BGK262260 BQG262160:BQG262260 CAC262160:CAC262260 CJY262160:CJY262260 CTU262160:CTU262260 DDQ262160:DDQ262260 DNM262160:DNM262260 DXI262160:DXI262260 EHE262160:EHE262260 ERA262160:ERA262260 FAW262160:FAW262260 FKS262160:FKS262260 FUO262160:FUO262260 GEK262160:GEK262260 GOG262160:GOG262260 GYC262160:GYC262260 HHY262160:HHY262260 HRU262160:HRU262260 IBQ262160:IBQ262260 ILM262160:ILM262260 IVI262160:IVI262260 JFE262160:JFE262260 JPA262160:JPA262260 JYW262160:JYW262260 KIS262160:KIS262260 KSO262160:KSO262260 LCK262160:LCK262260 LMG262160:LMG262260 LWC262160:LWC262260 MFY262160:MFY262260 MPU262160:MPU262260 MZQ262160:MZQ262260 NJM262160:NJM262260 NTI262160:NTI262260 ODE262160:ODE262260 ONA262160:ONA262260 OWW262160:OWW262260 PGS262160:PGS262260 PQO262160:PQO262260 QAK262160:QAK262260 QKG262160:QKG262260 QUC262160:QUC262260 RDY262160:RDY262260 RNU262160:RNU262260 RXQ262160:RXQ262260 SHM262160:SHM262260 SRI262160:SRI262260 TBE262160:TBE262260 TLA262160:TLA262260 TUW262160:TUW262260 UES262160:UES262260 UOO262160:UOO262260 UYK262160:UYK262260 VIG262160:VIG262260 VSC262160:VSC262260 WBY262160:WBY262260 WLU262160:WLU262260 WVQ262160:WVQ262260 I327696:I327796 JE327696:JE327796 TA327696:TA327796 ACW327696:ACW327796 AMS327696:AMS327796 AWO327696:AWO327796 BGK327696:BGK327796 BQG327696:BQG327796 CAC327696:CAC327796 CJY327696:CJY327796 CTU327696:CTU327796 DDQ327696:DDQ327796 DNM327696:DNM327796 DXI327696:DXI327796 EHE327696:EHE327796 ERA327696:ERA327796 FAW327696:FAW327796 FKS327696:FKS327796 FUO327696:FUO327796 GEK327696:GEK327796 GOG327696:GOG327796 GYC327696:GYC327796 HHY327696:HHY327796 HRU327696:HRU327796 IBQ327696:IBQ327796 ILM327696:ILM327796 IVI327696:IVI327796 JFE327696:JFE327796 JPA327696:JPA327796 JYW327696:JYW327796 KIS327696:KIS327796 KSO327696:KSO327796 LCK327696:LCK327796 LMG327696:LMG327796 LWC327696:LWC327796 MFY327696:MFY327796 MPU327696:MPU327796 MZQ327696:MZQ327796 NJM327696:NJM327796 NTI327696:NTI327796 ODE327696:ODE327796 ONA327696:ONA327796 OWW327696:OWW327796 PGS327696:PGS327796 PQO327696:PQO327796 QAK327696:QAK327796 QKG327696:QKG327796 QUC327696:QUC327796 RDY327696:RDY327796 RNU327696:RNU327796 RXQ327696:RXQ327796 SHM327696:SHM327796 SRI327696:SRI327796 TBE327696:TBE327796 TLA327696:TLA327796 TUW327696:TUW327796 UES327696:UES327796 UOO327696:UOO327796 UYK327696:UYK327796 VIG327696:VIG327796 VSC327696:VSC327796 WBY327696:WBY327796 WLU327696:WLU327796 WVQ327696:WVQ327796 I393232:I393332 JE393232:JE393332 TA393232:TA393332 ACW393232:ACW393332 AMS393232:AMS393332 AWO393232:AWO393332 BGK393232:BGK393332 BQG393232:BQG393332 CAC393232:CAC393332 CJY393232:CJY393332 CTU393232:CTU393332 DDQ393232:DDQ393332 DNM393232:DNM393332 DXI393232:DXI393332 EHE393232:EHE393332 ERA393232:ERA393332 FAW393232:FAW393332 FKS393232:FKS393332 FUO393232:FUO393332 GEK393232:GEK393332 GOG393232:GOG393332 GYC393232:GYC393332 HHY393232:HHY393332 HRU393232:HRU393332 IBQ393232:IBQ393332 ILM393232:ILM393332 IVI393232:IVI393332 JFE393232:JFE393332 JPA393232:JPA393332 JYW393232:JYW393332 KIS393232:KIS393332 KSO393232:KSO393332 LCK393232:LCK393332 LMG393232:LMG393332 LWC393232:LWC393332 MFY393232:MFY393332 MPU393232:MPU393332 MZQ393232:MZQ393332 NJM393232:NJM393332 NTI393232:NTI393332 ODE393232:ODE393332 ONA393232:ONA393332 OWW393232:OWW393332 PGS393232:PGS393332 PQO393232:PQO393332 QAK393232:QAK393332 QKG393232:QKG393332 QUC393232:QUC393332 RDY393232:RDY393332 RNU393232:RNU393332 RXQ393232:RXQ393332 SHM393232:SHM393332 SRI393232:SRI393332 TBE393232:TBE393332 TLA393232:TLA393332 TUW393232:TUW393332 UES393232:UES393332 UOO393232:UOO393332 UYK393232:UYK393332 VIG393232:VIG393332 VSC393232:VSC393332 WBY393232:WBY393332 WLU393232:WLU393332 WVQ393232:WVQ393332 I458768:I458868 JE458768:JE458868 TA458768:TA458868 ACW458768:ACW458868 AMS458768:AMS458868 AWO458768:AWO458868 BGK458768:BGK458868 BQG458768:BQG458868 CAC458768:CAC458868 CJY458768:CJY458868 CTU458768:CTU458868 DDQ458768:DDQ458868 DNM458768:DNM458868 DXI458768:DXI458868 EHE458768:EHE458868 ERA458768:ERA458868 FAW458768:FAW458868 FKS458768:FKS458868 FUO458768:FUO458868 GEK458768:GEK458868 GOG458768:GOG458868 GYC458768:GYC458868 HHY458768:HHY458868 HRU458768:HRU458868 IBQ458768:IBQ458868 ILM458768:ILM458868 IVI458768:IVI458868 JFE458768:JFE458868 JPA458768:JPA458868 JYW458768:JYW458868 KIS458768:KIS458868 KSO458768:KSO458868 LCK458768:LCK458868 LMG458768:LMG458868 LWC458768:LWC458868 MFY458768:MFY458868 MPU458768:MPU458868 MZQ458768:MZQ458868 NJM458768:NJM458868 NTI458768:NTI458868 ODE458768:ODE458868 ONA458768:ONA458868 OWW458768:OWW458868 PGS458768:PGS458868 PQO458768:PQO458868 QAK458768:QAK458868 QKG458768:QKG458868 QUC458768:QUC458868 RDY458768:RDY458868 RNU458768:RNU458868 RXQ458768:RXQ458868 SHM458768:SHM458868 SRI458768:SRI458868 TBE458768:TBE458868 TLA458768:TLA458868 TUW458768:TUW458868 UES458768:UES458868 UOO458768:UOO458868 UYK458768:UYK458868 VIG458768:VIG458868 VSC458768:VSC458868 WBY458768:WBY458868 WLU458768:WLU458868 WVQ458768:WVQ458868 I524304:I524404 JE524304:JE524404 TA524304:TA524404 ACW524304:ACW524404 AMS524304:AMS524404 AWO524304:AWO524404 BGK524304:BGK524404 BQG524304:BQG524404 CAC524304:CAC524404 CJY524304:CJY524404 CTU524304:CTU524404 DDQ524304:DDQ524404 DNM524304:DNM524404 DXI524304:DXI524404 EHE524304:EHE524404 ERA524304:ERA524404 FAW524304:FAW524404 FKS524304:FKS524404 FUO524304:FUO524404 GEK524304:GEK524404 GOG524304:GOG524404 GYC524304:GYC524404 HHY524304:HHY524404 HRU524304:HRU524404 IBQ524304:IBQ524404 ILM524304:ILM524404 IVI524304:IVI524404 JFE524304:JFE524404 JPA524304:JPA524404 JYW524304:JYW524404 KIS524304:KIS524404 KSO524304:KSO524404 LCK524304:LCK524404 LMG524304:LMG524404 LWC524304:LWC524404 MFY524304:MFY524404 MPU524304:MPU524404 MZQ524304:MZQ524404 NJM524304:NJM524404 NTI524304:NTI524404 ODE524304:ODE524404 ONA524304:ONA524404 OWW524304:OWW524404 PGS524304:PGS524404 PQO524304:PQO524404 QAK524304:QAK524404 QKG524304:QKG524404 QUC524304:QUC524404 RDY524304:RDY524404 RNU524304:RNU524404 RXQ524304:RXQ524404 SHM524304:SHM524404 SRI524304:SRI524404 TBE524304:TBE524404 TLA524304:TLA524404 TUW524304:TUW524404 UES524304:UES524404 UOO524304:UOO524404 UYK524304:UYK524404 VIG524304:VIG524404 VSC524304:VSC524404 WBY524304:WBY524404 WLU524304:WLU524404 WVQ524304:WVQ524404 I589840:I589940 JE589840:JE589940 TA589840:TA589940 ACW589840:ACW589940 AMS589840:AMS589940 AWO589840:AWO589940 BGK589840:BGK589940 BQG589840:BQG589940 CAC589840:CAC589940 CJY589840:CJY589940 CTU589840:CTU589940 DDQ589840:DDQ589940 DNM589840:DNM589940 DXI589840:DXI589940 EHE589840:EHE589940 ERA589840:ERA589940 FAW589840:FAW589940 FKS589840:FKS589940 FUO589840:FUO589940 GEK589840:GEK589940 GOG589840:GOG589940 GYC589840:GYC589940 HHY589840:HHY589940 HRU589840:HRU589940 IBQ589840:IBQ589940 ILM589840:ILM589940 IVI589840:IVI589940 JFE589840:JFE589940 JPA589840:JPA589940 JYW589840:JYW589940 KIS589840:KIS589940 KSO589840:KSO589940 LCK589840:LCK589940 LMG589840:LMG589940 LWC589840:LWC589940 MFY589840:MFY589940 MPU589840:MPU589940 MZQ589840:MZQ589940 NJM589840:NJM589940 NTI589840:NTI589940 ODE589840:ODE589940 ONA589840:ONA589940 OWW589840:OWW589940 PGS589840:PGS589940 PQO589840:PQO589940 QAK589840:QAK589940 QKG589840:QKG589940 QUC589840:QUC589940 RDY589840:RDY589940 RNU589840:RNU589940 RXQ589840:RXQ589940 SHM589840:SHM589940 SRI589840:SRI589940 TBE589840:TBE589940 TLA589840:TLA589940 TUW589840:TUW589940 UES589840:UES589940 UOO589840:UOO589940 UYK589840:UYK589940 VIG589840:VIG589940 VSC589840:VSC589940 WBY589840:WBY589940 WLU589840:WLU589940 WVQ589840:WVQ589940 I655376:I655476 JE655376:JE655476 TA655376:TA655476 ACW655376:ACW655476 AMS655376:AMS655476 AWO655376:AWO655476 BGK655376:BGK655476 BQG655376:BQG655476 CAC655376:CAC655476 CJY655376:CJY655476 CTU655376:CTU655476 DDQ655376:DDQ655476 DNM655376:DNM655476 DXI655376:DXI655476 EHE655376:EHE655476 ERA655376:ERA655476 FAW655376:FAW655476 FKS655376:FKS655476 FUO655376:FUO655476 GEK655376:GEK655476 GOG655376:GOG655476 GYC655376:GYC655476 HHY655376:HHY655476 HRU655376:HRU655476 IBQ655376:IBQ655476 ILM655376:ILM655476 IVI655376:IVI655476 JFE655376:JFE655476 JPA655376:JPA655476 JYW655376:JYW655476 KIS655376:KIS655476 KSO655376:KSO655476 LCK655376:LCK655476 LMG655376:LMG655476 LWC655376:LWC655476 MFY655376:MFY655476 MPU655376:MPU655476 MZQ655376:MZQ655476 NJM655376:NJM655476 NTI655376:NTI655476 ODE655376:ODE655476 ONA655376:ONA655476 OWW655376:OWW655476 PGS655376:PGS655476 PQO655376:PQO655476 QAK655376:QAK655476 QKG655376:QKG655476 QUC655376:QUC655476 RDY655376:RDY655476 RNU655376:RNU655476 RXQ655376:RXQ655476 SHM655376:SHM655476 SRI655376:SRI655476 TBE655376:TBE655476 TLA655376:TLA655476 TUW655376:TUW655476 UES655376:UES655476 UOO655376:UOO655476 UYK655376:UYK655476 VIG655376:VIG655476 VSC655376:VSC655476 WBY655376:WBY655476 WLU655376:WLU655476 WVQ655376:WVQ655476 I720912:I721012 JE720912:JE721012 TA720912:TA721012 ACW720912:ACW721012 AMS720912:AMS721012 AWO720912:AWO721012 BGK720912:BGK721012 BQG720912:BQG721012 CAC720912:CAC721012 CJY720912:CJY721012 CTU720912:CTU721012 DDQ720912:DDQ721012 DNM720912:DNM721012 DXI720912:DXI721012 EHE720912:EHE721012 ERA720912:ERA721012 FAW720912:FAW721012 FKS720912:FKS721012 FUO720912:FUO721012 GEK720912:GEK721012 GOG720912:GOG721012 GYC720912:GYC721012 HHY720912:HHY721012 HRU720912:HRU721012 IBQ720912:IBQ721012 ILM720912:ILM721012 IVI720912:IVI721012 JFE720912:JFE721012 JPA720912:JPA721012 JYW720912:JYW721012 KIS720912:KIS721012 KSO720912:KSO721012 LCK720912:LCK721012 LMG720912:LMG721012 LWC720912:LWC721012 MFY720912:MFY721012 MPU720912:MPU721012 MZQ720912:MZQ721012 NJM720912:NJM721012 NTI720912:NTI721012 ODE720912:ODE721012 ONA720912:ONA721012 OWW720912:OWW721012 PGS720912:PGS721012 PQO720912:PQO721012 QAK720912:QAK721012 QKG720912:QKG721012 QUC720912:QUC721012 RDY720912:RDY721012 RNU720912:RNU721012 RXQ720912:RXQ721012 SHM720912:SHM721012 SRI720912:SRI721012 TBE720912:TBE721012 TLA720912:TLA721012 TUW720912:TUW721012 UES720912:UES721012 UOO720912:UOO721012 UYK720912:UYK721012 VIG720912:VIG721012 VSC720912:VSC721012 WBY720912:WBY721012 WLU720912:WLU721012 WVQ720912:WVQ721012 I786448:I786548 JE786448:JE786548 TA786448:TA786548 ACW786448:ACW786548 AMS786448:AMS786548 AWO786448:AWO786548 BGK786448:BGK786548 BQG786448:BQG786548 CAC786448:CAC786548 CJY786448:CJY786548 CTU786448:CTU786548 DDQ786448:DDQ786548 DNM786448:DNM786548 DXI786448:DXI786548 EHE786448:EHE786548 ERA786448:ERA786548 FAW786448:FAW786548 FKS786448:FKS786548 FUO786448:FUO786548 GEK786448:GEK786548 GOG786448:GOG786548 GYC786448:GYC786548 HHY786448:HHY786548 HRU786448:HRU786548 IBQ786448:IBQ786548 ILM786448:ILM786548 IVI786448:IVI786548 JFE786448:JFE786548 JPA786448:JPA786548 JYW786448:JYW786548 KIS786448:KIS786548 KSO786448:KSO786548 LCK786448:LCK786548 LMG786448:LMG786548 LWC786448:LWC786548 MFY786448:MFY786548 MPU786448:MPU786548 MZQ786448:MZQ786548 NJM786448:NJM786548 NTI786448:NTI786548 ODE786448:ODE786548 ONA786448:ONA786548 OWW786448:OWW786548 PGS786448:PGS786548 PQO786448:PQO786548 QAK786448:QAK786548 QKG786448:QKG786548 QUC786448:QUC786548 RDY786448:RDY786548 RNU786448:RNU786548 RXQ786448:RXQ786548 SHM786448:SHM786548 SRI786448:SRI786548 TBE786448:TBE786548 TLA786448:TLA786548 TUW786448:TUW786548 UES786448:UES786548 UOO786448:UOO786548 UYK786448:UYK786548 VIG786448:VIG786548 VSC786448:VSC786548 WBY786448:WBY786548 WLU786448:WLU786548 WVQ786448:WVQ786548 I851984:I852084 JE851984:JE852084 TA851984:TA852084 ACW851984:ACW852084 AMS851984:AMS852084 AWO851984:AWO852084 BGK851984:BGK852084 BQG851984:BQG852084 CAC851984:CAC852084 CJY851984:CJY852084 CTU851984:CTU852084 DDQ851984:DDQ852084 DNM851984:DNM852084 DXI851984:DXI852084 EHE851984:EHE852084 ERA851984:ERA852084 FAW851984:FAW852084 FKS851984:FKS852084 FUO851984:FUO852084 GEK851984:GEK852084 GOG851984:GOG852084 GYC851984:GYC852084 HHY851984:HHY852084 HRU851984:HRU852084 IBQ851984:IBQ852084 ILM851984:ILM852084 IVI851984:IVI852084 JFE851984:JFE852084 JPA851984:JPA852084 JYW851984:JYW852084 KIS851984:KIS852084 KSO851984:KSO852084 LCK851984:LCK852084 LMG851984:LMG852084 LWC851984:LWC852084 MFY851984:MFY852084 MPU851984:MPU852084 MZQ851984:MZQ852084 NJM851984:NJM852084 NTI851984:NTI852084 ODE851984:ODE852084 ONA851984:ONA852084 OWW851984:OWW852084 PGS851984:PGS852084 PQO851984:PQO852084 QAK851984:QAK852084 QKG851984:QKG852084 QUC851984:QUC852084 RDY851984:RDY852084 RNU851984:RNU852084 RXQ851984:RXQ852084 SHM851984:SHM852084 SRI851984:SRI852084 TBE851984:TBE852084 TLA851984:TLA852084 TUW851984:TUW852084 UES851984:UES852084 UOO851984:UOO852084 UYK851984:UYK852084 VIG851984:VIG852084 VSC851984:VSC852084 WBY851984:WBY852084 WLU851984:WLU852084 WVQ851984:WVQ852084 I917520:I917620 JE917520:JE917620 TA917520:TA917620 ACW917520:ACW917620 AMS917520:AMS917620 AWO917520:AWO917620 BGK917520:BGK917620 BQG917520:BQG917620 CAC917520:CAC917620 CJY917520:CJY917620 CTU917520:CTU917620 DDQ917520:DDQ917620 DNM917520:DNM917620 DXI917520:DXI917620 EHE917520:EHE917620 ERA917520:ERA917620 FAW917520:FAW917620 FKS917520:FKS917620 FUO917520:FUO917620 GEK917520:GEK917620 GOG917520:GOG917620 GYC917520:GYC917620 HHY917520:HHY917620 HRU917520:HRU917620 IBQ917520:IBQ917620 ILM917520:ILM917620 IVI917520:IVI917620 JFE917520:JFE917620 JPA917520:JPA917620 JYW917520:JYW917620 KIS917520:KIS917620 KSO917520:KSO917620 LCK917520:LCK917620 LMG917520:LMG917620 LWC917520:LWC917620 MFY917520:MFY917620 MPU917520:MPU917620 MZQ917520:MZQ917620 NJM917520:NJM917620 NTI917520:NTI917620 ODE917520:ODE917620 ONA917520:ONA917620 OWW917520:OWW917620 PGS917520:PGS917620 PQO917520:PQO917620 QAK917520:QAK917620 QKG917520:QKG917620 QUC917520:QUC917620 RDY917520:RDY917620 RNU917520:RNU917620 RXQ917520:RXQ917620 SHM917520:SHM917620 SRI917520:SRI917620 TBE917520:TBE917620 TLA917520:TLA917620 TUW917520:TUW917620 UES917520:UES917620 UOO917520:UOO917620 UYK917520:UYK917620 VIG917520:VIG917620 VSC917520:VSC917620 WBY917520:WBY917620 WLU917520:WLU917620 WVQ917520:WVQ917620 I983056:I983156 JE983056:JE983156 TA983056:TA983156 ACW983056:ACW983156 AMS983056:AMS983156 AWO983056:AWO983156 BGK983056:BGK983156 BQG983056:BQG983156 CAC983056:CAC983156 CJY983056:CJY983156 CTU983056:CTU983156 DDQ983056:DDQ983156 DNM983056:DNM983156 DXI983056:DXI983156 EHE983056:EHE983156 ERA983056:ERA983156 FAW983056:FAW983156 FKS983056:FKS983156 FUO983056:FUO983156 GEK983056:GEK983156 GOG983056:GOG983156 GYC983056:GYC983156 HHY983056:HHY983156 HRU983056:HRU983156 IBQ983056:IBQ983156 ILM983056:ILM983156 IVI983056:IVI983156 JFE983056:JFE983156 JPA983056:JPA983156 JYW983056:JYW983156 KIS983056:KIS983156 KSO983056:KSO983156 LCK983056:LCK983156 LMG983056:LMG983156 LWC983056:LWC983156 MFY983056:MFY983156 MPU983056:MPU983156 MZQ983056:MZQ983156 NJM983056:NJM983156 NTI983056:NTI983156 ODE983056:ODE983156 ONA983056:ONA983156 OWW983056:OWW983156 PGS983056:PGS983156 PQO983056:PQO983156 QAK983056:QAK983156 QKG983056:QKG983156 QUC983056:QUC983156 RDY983056:RDY983156 RNU983056:RNU983156 RXQ983056:RXQ983156 SHM983056:SHM983156 SRI983056:SRI983156 TBE983056:TBE983156 TLA983056:TLA983156 TUW983056:TUW983156 UES983056:UES983156 UOO983056:UOO983156 UYK983056:UYK983156 VIG983056:VIG983156 VSC983056:VSC983156 WBY983056:WBY983156 WVQ12:WVQ65 WLU12:WLU65 WBY12:WBY65 VSC12:VSC65 VIG12:VIG65 UYK12:UYK65 UOO12:UOO65 UES12:UES65 TUW12:TUW65 TLA12:TLA65 TBE12:TBE65 SRI12:SRI65 SHM12:SHM65 RXQ12:RXQ65 RNU12:RNU65 RDY12:RDY65 QUC12:QUC65 QKG12:QKG65 QAK12:QAK65 PQO12:PQO65 PGS12:PGS65 OWW12:OWW65 ONA12:ONA65 ODE12:ODE65 NTI12:NTI65 NJM12:NJM65 MZQ12:MZQ65 MPU12:MPU65 MFY12:MFY65 LWC12:LWC65 LMG12:LMG65 LCK12:LCK65 KSO12:KSO65 KIS12:KIS65 JYW12:JYW65 JPA12:JPA65 JFE12:JFE65 IVI12:IVI65 ILM12:ILM65 IBQ12:IBQ65 HRU12:HRU65 HHY12:HHY65 GYC12:GYC65 GOG12:GOG65 GEK12:GEK65 FUO12:FUO65 FKS12:FKS65 FAW12:FAW65 ERA12:ERA65 EHE12:EHE65 DXI12:DXI65 DNM12:DNM65 DDQ12:DDQ65 CTU12:CTU65 CJY12:CJY65 CAC12:CAC65 BQG12:BQG65 BGK12:BGK65 AWO12:AWO65 AMS12:AMS65 ACW12:ACW65 TA12:TA65 JE12:JE65 JE67:JE116" xr:uid="{832DB9BF-40D7-42C6-B7C0-21F6CBF186D8}">
      <formula1>$I$10</formula1>
    </dataValidation>
    <dataValidation type="whole" operator="lessThanOrEqual" allowBlank="1" showInputMessage="1" showErrorMessage="1" error="INPUT NUMBER LESS THAN OR EQUAL THE HIGHEST POSSIBLE SCORE" prompt="Input Raw Score" sqref="WVP983056:WVP983156 SZ67:SZ116 ACV67:ACV116 AMR67:AMR116 AWN67:AWN116 BGJ67:BGJ116 BQF67:BQF116 CAB67:CAB116 CJX67:CJX116 CTT67:CTT116 DDP67:DDP116 DNL67:DNL116 DXH67:DXH116 EHD67:EHD116 EQZ67:EQZ116 FAV67:FAV116 FKR67:FKR116 FUN67:FUN116 GEJ67:GEJ116 GOF67:GOF116 GYB67:GYB116 HHX67:HHX116 HRT67:HRT116 IBP67:IBP116 ILL67:ILL116 IVH67:IVH116 JFD67:JFD116 JOZ67:JOZ116 JYV67:JYV116 KIR67:KIR116 KSN67:KSN116 LCJ67:LCJ116 LMF67:LMF116 LWB67:LWB116 MFX67:MFX116 MPT67:MPT116 MZP67:MZP116 NJL67:NJL116 NTH67:NTH116 ODD67:ODD116 OMZ67:OMZ116 OWV67:OWV116 PGR67:PGR116 PQN67:PQN116 QAJ67:QAJ116 QKF67:QKF116 QUB67:QUB116 RDX67:RDX116 RNT67:RNT116 RXP67:RXP116 SHL67:SHL116 SRH67:SRH116 TBD67:TBD116 TKZ67:TKZ116 TUV67:TUV116 UER67:UER116 UON67:UON116 UYJ67:UYJ116 VIF67:VIF116 VSB67:VSB116 WBX67:WBX116 WLT67:WLT116 WVP67:WVP116 WLT983056:WLT983156 H65552:H65652 JD65552:JD65652 SZ65552:SZ65652 ACV65552:ACV65652 AMR65552:AMR65652 AWN65552:AWN65652 BGJ65552:BGJ65652 BQF65552:BQF65652 CAB65552:CAB65652 CJX65552:CJX65652 CTT65552:CTT65652 DDP65552:DDP65652 DNL65552:DNL65652 DXH65552:DXH65652 EHD65552:EHD65652 EQZ65552:EQZ65652 FAV65552:FAV65652 FKR65552:FKR65652 FUN65552:FUN65652 GEJ65552:GEJ65652 GOF65552:GOF65652 GYB65552:GYB65652 HHX65552:HHX65652 HRT65552:HRT65652 IBP65552:IBP65652 ILL65552:ILL65652 IVH65552:IVH65652 JFD65552:JFD65652 JOZ65552:JOZ65652 JYV65552:JYV65652 KIR65552:KIR65652 KSN65552:KSN65652 LCJ65552:LCJ65652 LMF65552:LMF65652 LWB65552:LWB65652 MFX65552:MFX65652 MPT65552:MPT65652 MZP65552:MZP65652 NJL65552:NJL65652 NTH65552:NTH65652 ODD65552:ODD65652 OMZ65552:OMZ65652 OWV65552:OWV65652 PGR65552:PGR65652 PQN65552:PQN65652 QAJ65552:QAJ65652 QKF65552:QKF65652 QUB65552:QUB65652 RDX65552:RDX65652 RNT65552:RNT65652 RXP65552:RXP65652 SHL65552:SHL65652 SRH65552:SRH65652 TBD65552:TBD65652 TKZ65552:TKZ65652 TUV65552:TUV65652 UER65552:UER65652 UON65552:UON65652 UYJ65552:UYJ65652 VIF65552:VIF65652 VSB65552:VSB65652 WBX65552:WBX65652 WLT65552:WLT65652 WVP65552:WVP65652 H131088:H131188 JD131088:JD131188 SZ131088:SZ131188 ACV131088:ACV131188 AMR131088:AMR131188 AWN131088:AWN131188 BGJ131088:BGJ131188 BQF131088:BQF131188 CAB131088:CAB131188 CJX131088:CJX131188 CTT131088:CTT131188 DDP131088:DDP131188 DNL131088:DNL131188 DXH131088:DXH131188 EHD131088:EHD131188 EQZ131088:EQZ131188 FAV131088:FAV131188 FKR131088:FKR131188 FUN131088:FUN131188 GEJ131088:GEJ131188 GOF131088:GOF131188 GYB131088:GYB131188 HHX131088:HHX131188 HRT131088:HRT131188 IBP131088:IBP131188 ILL131088:ILL131188 IVH131088:IVH131188 JFD131088:JFD131188 JOZ131088:JOZ131188 JYV131088:JYV131188 KIR131088:KIR131188 KSN131088:KSN131188 LCJ131088:LCJ131188 LMF131088:LMF131188 LWB131088:LWB131188 MFX131088:MFX131188 MPT131088:MPT131188 MZP131088:MZP131188 NJL131088:NJL131188 NTH131088:NTH131188 ODD131088:ODD131188 OMZ131088:OMZ131188 OWV131088:OWV131188 PGR131088:PGR131188 PQN131088:PQN131188 QAJ131088:QAJ131188 QKF131088:QKF131188 QUB131088:QUB131188 RDX131088:RDX131188 RNT131088:RNT131188 RXP131088:RXP131188 SHL131088:SHL131188 SRH131088:SRH131188 TBD131088:TBD131188 TKZ131088:TKZ131188 TUV131088:TUV131188 UER131088:UER131188 UON131088:UON131188 UYJ131088:UYJ131188 VIF131088:VIF131188 VSB131088:VSB131188 WBX131088:WBX131188 WLT131088:WLT131188 WVP131088:WVP131188 H196624:H196724 JD196624:JD196724 SZ196624:SZ196724 ACV196624:ACV196724 AMR196624:AMR196724 AWN196624:AWN196724 BGJ196624:BGJ196724 BQF196624:BQF196724 CAB196624:CAB196724 CJX196624:CJX196724 CTT196624:CTT196724 DDP196624:DDP196724 DNL196624:DNL196724 DXH196624:DXH196724 EHD196624:EHD196724 EQZ196624:EQZ196724 FAV196624:FAV196724 FKR196624:FKR196724 FUN196624:FUN196724 GEJ196624:GEJ196724 GOF196624:GOF196724 GYB196624:GYB196724 HHX196624:HHX196724 HRT196624:HRT196724 IBP196624:IBP196724 ILL196624:ILL196724 IVH196624:IVH196724 JFD196624:JFD196724 JOZ196624:JOZ196724 JYV196624:JYV196724 KIR196624:KIR196724 KSN196624:KSN196724 LCJ196624:LCJ196724 LMF196624:LMF196724 LWB196624:LWB196724 MFX196624:MFX196724 MPT196624:MPT196724 MZP196624:MZP196724 NJL196624:NJL196724 NTH196624:NTH196724 ODD196624:ODD196724 OMZ196624:OMZ196724 OWV196624:OWV196724 PGR196624:PGR196724 PQN196624:PQN196724 QAJ196624:QAJ196724 QKF196624:QKF196724 QUB196624:QUB196724 RDX196624:RDX196724 RNT196624:RNT196724 RXP196624:RXP196724 SHL196624:SHL196724 SRH196624:SRH196724 TBD196624:TBD196724 TKZ196624:TKZ196724 TUV196624:TUV196724 UER196624:UER196724 UON196624:UON196724 UYJ196624:UYJ196724 VIF196624:VIF196724 VSB196624:VSB196724 WBX196624:WBX196724 WLT196624:WLT196724 WVP196624:WVP196724 H262160:H262260 JD262160:JD262260 SZ262160:SZ262260 ACV262160:ACV262260 AMR262160:AMR262260 AWN262160:AWN262260 BGJ262160:BGJ262260 BQF262160:BQF262260 CAB262160:CAB262260 CJX262160:CJX262260 CTT262160:CTT262260 DDP262160:DDP262260 DNL262160:DNL262260 DXH262160:DXH262260 EHD262160:EHD262260 EQZ262160:EQZ262260 FAV262160:FAV262260 FKR262160:FKR262260 FUN262160:FUN262260 GEJ262160:GEJ262260 GOF262160:GOF262260 GYB262160:GYB262260 HHX262160:HHX262260 HRT262160:HRT262260 IBP262160:IBP262260 ILL262160:ILL262260 IVH262160:IVH262260 JFD262160:JFD262260 JOZ262160:JOZ262260 JYV262160:JYV262260 KIR262160:KIR262260 KSN262160:KSN262260 LCJ262160:LCJ262260 LMF262160:LMF262260 LWB262160:LWB262260 MFX262160:MFX262260 MPT262160:MPT262260 MZP262160:MZP262260 NJL262160:NJL262260 NTH262160:NTH262260 ODD262160:ODD262260 OMZ262160:OMZ262260 OWV262160:OWV262260 PGR262160:PGR262260 PQN262160:PQN262260 QAJ262160:QAJ262260 QKF262160:QKF262260 QUB262160:QUB262260 RDX262160:RDX262260 RNT262160:RNT262260 RXP262160:RXP262260 SHL262160:SHL262260 SRH262160:SRH262260 TBD262160:TBD262260 TKZ262160:TKZ262260 TUV262160:TUV262260 UER262160:UER262260 UON262160:UON262260 UYJ262160:UYJ262260 VIF262160:VIF262260 VSB262160:VSB262260 WBX262160:WBX262260 WLT262160:WLT262260 WVP262160:WVP262260 H327696:H327796 JD327696:JD327796 SZ327696:SZ327796 ACV327696:ACV327796 AMR327696:AMR327796 AWN327696:AWN327796 BGJ327696:BGJ327796 BQF327696:BQF327796 CAB327696:CAB327796 CJX327696:CJX327796 CTT327696:CTT327796 DDP327696:DDP327796 DNL327696:DNL327796 DXH327696:DXH327796 EHD327696:EHD327796 EQZ327696:EQZ327796 FAV327696:FAV327796 FKR327696:FKR327796 FUN327696:FUN327796 GEJ327696:GEJ327796 GOF327696:GOF327796 GYB327696:GYB327796 HHX327696:HHX327796 HRT327696:HRT327796 IBP327696:IBP327796 ILL327696:ILL327796 IVH327696:IVH327796 JFD327696:JFD327796 JOZ327696:JOZ327796 JYV327696:JYV327796 KIR327696:KIR327796 KSN327696:KSN327796 LCJ327696:LCJ327796 LMF327696:LMF327796 LWB327696:LWB327796 MFX327696:MFX327796 MPT327696:MPT327796 MZP327696:MZP327796 NJL327696:NJL327796 NTH327696:NTH327796 ODD327696:ODD327796 OMZ327696:OMZ327796 OWV327696:OWV327796 PGR327696:PGR327796 PQN327696:PQN327796 QAJ327696:QAJ327796 QKF327696:QKF327796 QUB327696:QUB327796 RDX327696:RDX327796 RNT327696:RNT327796 RXP327696:RXP327796 SHL327696:SHL327796 SRH327696:SRH327796 TBD327696:TBD327796 TKZ327696:TKZ327796 TUV327696:TUV327796 UER327696:UER327796 UON327696:UON327796 UYJ327696:UYJ327796 VIF327696:VIF327796 VSB327696:VSB327796 WBX327696:WBX327796 WLT327696:WLT327796 WVP327696:WVP327796 H393232:H393332 JD393232:JD393332 SZ393232:SZ393332 ACV393232:ACV393332 AMR393232:AMR393332 AWN393232:AWN393332 BGJ393232:BGJ393332 BQF393232:BQF393332 CAB393232:CAB393332 CJX393232:CJX393332 CTT393232:CTT393332 DDP393232:DDP393332 DNL393232:DNL393332 DXH393232:DXH393332 EHD393232:EHD393332 EQZ393232:EQZ393332 FAV393232:FAV393332 FKR393232:FKR393332 FUN393232:FUN393332 GEJ393232:GEJ393332 GOF393232:GOF393332 GYB393232:GYB393332 HHX393232:HHX393332 HRT393232:HRT393332 IBP393232:IBP393332 ILL393232:ILL393332 IVH393232:IVH393332 JFD393232:JFD393332 JOZ393232:JOZ393332 JYV393232:JYV393332 KIR393232:KIR393332 KSN393232:KSN393332 LCJ393232:LCJ393332 LMF393232:LMF393332 LWB393232:LWB393332 MFX393232:MFX393332 MPT393232:MPT393332 MZP393232:MZP393332 NJL393232:NJL393332 NTH393232:NTH393332 ODD393232:ODD393332 OMZ393232:OMZ393332 OWV393232:OWV393332 PGR393232:PGR393332 PQN393232:PQN393332 QAJ393232:QAJ393332 QKF393232:QKF393332 QUB393232:QUB393332 RDX393232:RDX393332 RNT393232:RNT393332 RXP393232:RXP393332 SHL393232:SHL393332 SRH393232:SRH393332 TBD393232:TBD393332 TKZ393232:TKZ393332 TUV393232:TUV393332 UER393232:UER393332 UON393232:UON393332 UYJ393232:UYJ393332 VIF393232:VIF393332 VSB393232:VSB393332 WBX393232:WBX393332 WLT393232:WLT393332 WVP393232:WVP393332 H458768:H458868 JD458768:JD458868 SZ458768:SZ458868 ACV458768:ACV458868 AMR458768:AMR458868 AWN458768:AWN458868 BGJ458768:BGJ458868 BQF458768:BQF458868 CAB458768:CAB458868 CJX458768:CJX458868 CTT458768:CTT458868 DDP458768:DDP458868 DNL458768:DNL458868 DXH458768:DXH458868 EHD458768:EHD458868 EQZ458768:EQZ458868 FAV458768:FAV458868 FKR458768:FKR458868 FUN458768:FUN458868 GEJ458768:GEJ458868 GOF458768:GOF458868 GYB458768:GYB458868 HHX458768:HHX458868 HRT458768:HRT458868 IBP458768:IBP458868 ILL458768:ILL458868 IVH458768:IVH458868 JFD458768:JFD458868 JOZ458768:JOZ458868 JYV458768:JYV458868 KIR458768:KIR458868 KSN458768:KSN458868 LCJ458768:LCJ458868 LMF458768:LMF458868 LWB458768:LWB458868 MFX458768:MFX458868 MPT458768:MPT458868 MZP458768:MZP458868 NJL458768:NJL458868 NTH458768:NTH458868 ODD458768:ODD458868 OMZ458768:OMZ458868 OWV458768:OWV458868 PGR458768:PGR458868 PQN458768:PQN458868 QAJ458768:QAJ458868 QKF458768:QKF458868 QUB458768:QUB458868 RDX458768:RDX458868 RNT458768:RNT458868 RXP458768:RXP458868 SHL458768:SHL458868 SRH458768:SRH458868 TBD458768:TBD458868 TKZ458768:TKZ458868 TUV458768:TUV458868 UER458768:UER458868 UON458768:UON458868 UYJ458768:UYJ458868 VIF458768:VIF458868 VSB458768:VSB458868 WBX458768:WBX458868 WLT458768:WLT458868 WVP458768:WVP458868 H524304:H524404 JD524304:JD524404 SZ524304:SZ524404 ACV524304:ACV524404 AMR524304:AMR524404 AWN524304:AWN524404 BGJ524304:BGJ524404 BQF524304:BQF524404 CAB524304:CAB524404 CJX524304:CJX524404 CTT524304:CTT524404 DDP524304:DDP524404 DNL524304:DNL524404 DXH524304:DXH524404 EHD524304:EHD524404 EQZ524304:EQZ524404 FAV524304:FAV524404 FKR524304:FKR524404 FUN524304:FUN524404 GEJ524304:GEJ524404 GOF524304:GOF524404 GYB524304:GYB524404 HHX524304:HHX524404 HRT524304:HRT524404 IBP524304:IBP524404 ILL524304:ILL524404 IVH524304:IVH524404 JFD524304:JFD524404 JOZ524304:JOZ524404 JYV524304:JYV524404 KIR524304:KIR524404 KSN524304:KSN524404 LCJ524304:LCJ524404 LMF524304:LMF524404 LWB524304:LWB524404 MFX524304:MFX524404 MPT524304:MPT524404 MZP524304:MZP524404 NJL524304:NJL524404 NTH524304:NTH524404 ODD524304:ODD524404 OMZ524304:OMZ524404 OWV524304:OWV524404 PGR524304:PGR524404 PQN524304:PQN524404 QAJ524304:QAJ524404 QKF524304:QKF524404 QUB524304:QUB524404 RDX524304:RDX524404 RNT524304:RNT524404 RXP524304:RXP524404 SHL524304:SHL524404 SRH524304:SRH524404 TBD524304:TBD524404 TKZ524304:TKZ524404 TUV524304:TUV524404 UER524304:UER524404 UON524304:UON524404 UYJ524304:UYJ524404 VIF524304:VIF524404 VSB524304:VSB524404 WBX524304:WBX524404 WLT524304:WLT524404 WVP524304:WVP524404 H589840:H589940 JD589840:JD589940 SZ589840:SZ589940 ACV589840:ACV589940 AMR589840:AMR589940 AWN589840:AWN589940 BGJ589840:BGJ589940 BQF589840:BQF589940 CAB589840:CAB589940 CJX589840:CJX589940 CTT589840:CTT589940 DDP589840:DDP589940 DNL589840:DNL589940 DXH589840:DXH589940 EHD589840:EHD589940 EQZ589840:EQZ589940 FAV589840:FAV589940 FKR589840:FKR589940 FUN589840:FUN589940 GEJ589840:GEJ589940 GOF589840:GOF589940 GYB589840:GYB589940 HHX589840:HHX589940 HRT589840:HRT589940 IBP589840:IBP589940 ILL589840:ILL589940 IVH589840:IVH589940 JFD589840:JFD589940 JOZ589840:JOZ589940 JYV589840:JYV589940 KIR589840:KIR589940 KSN589840:KSN589940 LCJ589840:LCJ589940 LMF589840:LMF589940 LWB589840:LWB589940 MFX589840:MFX589940 MPT589840:MPT589940 MZP589840:MZP589940 NJL589840:NJL589940 NTH589840:NTH589940 ODD589840:ODD589940 OMZ589840:OMZ589940 OWV589840:OWV589940 PGR589840:PGR589940 PQN589840:PQN589940 QAJ589840:QAJ589940 QKF589840:QKF589940 QUB589840:QUB589940 RDX589840:RDX589940 RNT589840:RNT589940 RXP589840:RXP589940 SHL589840:SHL589940 SRH589840:SRH589940 TBD589840:TBD589940 TKZ589840:TKZ589940 TUV589840:TUV589940 UER589840:UER589940 UON589840:UON589940 UYJ589840:UYJ589940 VIF589840:VIF589940 VSB589840:VSB589940 WBX589840:WBX589940 WLT589840:WLT589940 WVP589840:WVP589940 H655376:H655476 JD655376:JD655476 SZ655376:SZ655476 ACV655376:ACV655476 AMR655376:AMR655476 AWN655376:AWN655476 BGJ655376:BGJ655476 BQF655376:BQF655476 CAB655376:CAB655476 CJX655376:CJX655476 CTT655376:CTT655476 DDP655376:DDP655476 DNL655376:DNL655476 DXH655376:DXH655476 EHD655376:EHD655476 EQZ655376:EQZ655476 FAV655376:FAV655476 FKR655376:FKR655476 FUN655376:FUN655476 GEJ655376:GEJ655476 GOF655376:GOF655476 GYB655376:GYB655476 HHX655376:HHX655476 HRT655376:HRT655476 IBP655376:IBP655476 ILL655376:ILL655476 IVH655376:IVH655476 JFD655376:JFD655476 JOZ655376:JOZ655476 JYV655376:JYV655476 KIR655376:KIR655476 KSN655376:KSN655476 LCJ655376:LCJ655476 LMF655376:LMF655476 LWB655376:LWB655476 MFX655376:MFX655476 MPT655376:MPT655476 MZP655376:MZP655476 NJL655376:NJL655476 NTH655376:NTH655476 ODD655376:ODD655476 OMZ655376:OMZ655476 OWV655376:OWV655476 PGR655376:PGR655476 PQN655376:PQN655476 QAJ655376:QAJ655476 QKF655376:QKF655476 QUB655376:QUB655476 RDX655376:RDX655476 RNT655376:RNT655476 RXP655376:RXP655476 SHL655376:SHL655476 SRH655376:SRH655476 TBD655376:TBD655476 TKZ655376:TKZ655476 TUV655376:TUV655476 UER655376:UER655476 UON655376:UON655476 UYJ655376:UYJ655476 VIF655376:VIF655476 VSB655376:VSB655476 WBX655376:WBX655476 WLT655376:WLT655476 WVP655376:WVP655476 H720912:H721012 JD720912:JD721012 SZ720912:SZ721012 ACV720912:ACV721012 AMR720912:AMR721012 AWN720912:AWN721012 BGJ720912:BGJ721012 BQF720912:BQF721012 CAB720912:CAB721012 CJX720912:CJX721012 CTT720912:CTT721012 DDP720912:DDP721012 DNL720912:DNL721012 DXH720912:DXH721012 EHD720912:EHD721012 EQZ720912:EQZ721012 FAV720912:FAV721012 FKR720912:FKR721012 FUN720912:FUN721012 GEJ720912:GEJ721012 GOF720912:GOF721012 GYB720912:GYB721012 HHX720912:HHX721012 HRT720912:HRT721012 IBP720912:IBP721012 ILL720912:ILL721012 IVH720912:IVH721012 JFD720912:JFD721012 JOZ720912:JOZ721012 JYV720912:JYV721012 KIR720912:KIR721012 KSN720912:KSN721012 LCJ720912:LCJ721012 LMF720912:LMF721012 LWB720912:LWB721012 MFX720912:MFX721012 MPT720912:MPT721012 MZP720912:MZP721012 NJL720912:NJL721012 NTH720912:NTH721012 ODD720912:ODD721012 OMZ720912:OMZ721012 OWV720912:OWV721012 PGR720912:PGR721012 PQN720912:PQN721012 QAJ720912:QAJ721012 QKF720912:QKF721012 QUB720912:QUB721012 RDX720912:RDX721012 RNT720912:RNT721012 RXP720912:RXP721012 SHL720912:SHL721012 SRH720912:SRH721012 TBD720912:TBD721012 TKZ720912:TKZ721012 TUV720912:TUV721012 UER720912:UER721012 UON720912:UON721012 UYJ720912:UYJ721012 VIF720912:VIF721012 VSB720912:VSB721012 WBX720912:WBX721012 WLT720912:WLT721012 WVP720912:WVP721012 H786448:H786548 JD786448:JD786548 SZ786448:SZ786548 ACV786448:ACV786548 AMR786448:AMR786548 AWN786448:AWN786548 BGJ786448:BGJ786548 BQF786448:BQF786548 CAB786448:CAB786548 CJX786448:CJX786548 CTT786448:CTT786548 DDP786448:DDP786548 DNL786448:DNL786548 DXH786448:DXH786548 EHD786448:EHD786548 EQZ786448:EQZ786548 FAV786448:FAV786548 FKR786448:FKR786548 FUN786448:FUN786548 GEJ786448:GEJ786548 GOF786448:GOF786548 GYB786448:GYB786548 HHX786448:HHX786548 HRT786448:HRT786548 IBP786448:IBP786548 ILL786448:ILL786548 IVH786448:IVH786548 JFD786448:JFD786548 JOZ786448:JOZ786548 JYV786448:JYV786548 KIR786448:KIR786548 KSN786448:KSN786548 LCJ786448:LCJ786548 LMF786448:LMF786548 LWB786448:LWB786548 MFX786448:MFX786548 MPT786448:MPT786548 MZP786448:MZP786548 NJL786448:NJL786548 NTH786448:NTH786548 ODD786448:ODD786548 OMZ786448:OMZ786548 OWV786448:OWV786548 PGR786448:PGR786548 PQN786448:PQN786548 QAJ786448:QAJ786548 QKF786448:QKF786548 QUB786448:QUB786548 RDX786448:RDX786548 RNT786448:RNT786548 RXP786448:RXP786548 SHL786448:SHL786548 SRH786448:SRH786548 TBD786448:TBD786548 TKZ786448:TKZ786548 TUV786448:TUV786548 UER786448:UER786548 UON786448:UON786548 UYJ786448:UYJ786548 VIF786448:VIF786548 VSB786448:VSB786548 WBX786448:WBX786548 WLT786448:WLT786548 WVP786448:WVP786548 H851984:H852084 JD851984:JD852084 SZ851984:SZ852084 ACV851984:ACV852084 AMR851984:AMR852084 AWN851984:AWN852084 BGJ851984:BGJ852084 BQF851984:BQF852084 CAB851984:CAB852084 CJX851984:CJX852084 CTT851984:CTT852084 DDP851984:DDP852084 DNL851984:DNL852084 DXH851984:DXH852084 EHD851984:EHD852084 EQZ851984:EQZ852084 FAV851984:FAV852084 FKR851984:FKR852084 FUN851984:FUN852084 GEJ851984:GEJ852084 GOF851984:GOF852084 GYB851984:GYB852084 HHX851984:HHX852084 HRT851984:HRT852084 IBP851984:IBP852084 ILL851984:ILL852084 IVH851984:IVH852084 JFD851984:JFD852084 JOZ851984:JOZ852084 JYV851984:JYV852084 KIR851984:KIR852084 KSN851984:KSN852084 LCJ851984:LCJ852084 LMF851984:LMF852084 LWB851984:LWB852084 MFX851984:MFX852084 MPT851984:MPT852084 MZP851984:MZP852084 NJL851984:NJL852084 NTH851984:NTH852084 ODD851984:ODD852084 OMZ851984:OMZ852084 OWV851984:OWV852084 PGR851984:PGR852084 PQN851984:PQN852084 QAJ851984:QAJ852084 QKF851984:QKF852084 QUB851984:QUB852084 RDX851984:RDX852084 RNT851984:RNT852084 RXP851984:RXP852084 SHL851984:SHL852084 SRH851984:SRH852084 TBD851984:TBD852084 TKZ851984:TKZ852084 TUV851984:TUV852084 UER851984:UER852084 UON851984:UON852084 UYJ851984:UYJ852084 VIF851984:VIF852084 VSB851984:VSB852084 WBX851984:WBX852084 WLT851984:WLT852084 WVP851984:WVP852084 H917520:H917620 JD917520:JD917620 SZ917520:SZ917620 ACV917520:ACV917620 AMR917520:AMR917620 AWN917520:AWN917620 BGJ917520:BGJ917620 BQF917520:BQF917620 CAB917520:CAB917620 CJX917520:CJX917620 CTT917520:CTT917620 DDP917520:DDP917620 DNL917520:DNL917620 DXH917520:DXH917620 EHD917520:EHD917620 EQZ917520:EQZ917620 FAV917520:FAV917620 FKR917520:FKR917620 FUN917520:FUN917620 GEJ917520:GEJ917620 GOF917520:GOF917620 GYB917520:GYB917620 HHX917520:HHX917620 HRT917520:HRT917620 IBP917520:IBP917620 ILL917520:ILL917620 IVH917520:IVH917620 JFD917520:JFD917620 JOZ917520:JOZ917620 JYV917520:JYV917620 KIR917520:KIR917620 KSN917520:KSN917620 LCJ917520:LCJ917620 LMF917520:LMF917620 LWB917520:LWB917620 MFX917520:MFX917620 MPT917520:MPT917620 MZP917520:MZP917620 NJL917520:NJL917620 NTH917520:NTH917620 ODD917520:ODD917620 OMZ917520:OMZ917620 OWV917520:OWV917620 PGR917520:PGR917620 PQN917520:PQN917620 QAJ917520:QAJ917620 QKF917520:QKF917620 QUB917520:QUB917620 RDX917520:RDX917620 RNT917520:RNT917620 RXP917520:RXP917620 SHL917520:SHL917620 SRH917520:SRH917620 TBD917520:TBD917620 TKZ917520:TKZ917620 TUV917520:TUV917620 UER917520:UER917620 UON917520:UON917620 UYJ917520:UYJ917620 VIF917520:VIF917620 VSB917520:VSB917620 WBX917520:WBX917620 WLT917520:WLT917620 WVP917520:WVP917620 H983056:H983156 JD983056:JD983156 SZ983056:SZ983156 ACV983056:ACV983156 AMR983056:AMR983156 AWN983056:AWN983156 BGJ983056:BGJ983156 BQF983056:BQF983156 CAB983056:CAB983156 CJX983056:CJX983156 CTT983056:CTT983156 DDP983056:DDP983156 DNL983056:DNL983156 DXH983056:DXH983156 EHD983056:EHD983156 EQZ983056:EQZ983156 FAV983056:FAV983156 FKR983056:FKR983156 FUN983056:FUN983156 GEJ983056:GEJ983156 GOF983056:GOF983156 GYB983056:GYB983156 HHX983056:HHX983156 HRT983056:HRT983156 IBP983056:IBP983156 ILL983056:ILL983156 IVH983056:IVH983156 JFD983056:JFD983156 JOZ983056:JOZ983156 JYV983056:JYV983156 KIR983056:KIR983156 KSN983056:KSN983156 LCJ983056:LCJ983156 LMF983056:LMF983156 LWB983056:LWB983156 MFX983056:MFX983156 MPT983056:MPT983156 MZP983056:MZP983156 NJL983056:NJL983156 NTH983056:NTH983156 ODD983056:ODD983156 OMZ983056:OMZ983156 OWV983056:OWV983156 PGR983056:PGR983156 PQN983056:PQN983156 QAJ983056:QAJ983156 QKF983056:QKF983156 QUB983056:QUB983156 RDX983056:RDX983156 RNT983056:RNT983156 RXP983056:RXP983156 SHL983056:SHL983156 SRH983056:SRH983156 TBD983056:TBD983156 TKZ983056:TKZ983156 TUV983056:TUV983156 UER983056:UER983156 UON983056:UON983156 UYJ983056:UYJ983156 VIF983056:VIF983156 VSB983056:VSB983156 WBX983056:WBX983156 WVP12:WVP65 WLT12:WLT65 WBX12:WBX65 VSB12:VSB65 VIF12:VIF65 UYJ12:UYJ65 UON12:UON65 UER12:UER65 TUV12:TUV65 TKZ12:TKZ65 TBD12:TBD65 SRH12:SRH65 SHL12:SHL65 RXP12:RXP65 RNT12:RNT65 RDX12:RDX65 QUB12:QUB65 QKF12:QKF65 QAJ12:QAJ65 PQN12:PQN65 PGR12:PGR65 OWV12:OWV65 OMZ12:OMZ65 ODD12:ODD65 NTH12:NTH65 NJL12:NJL65 MZP12:MZP65 MPT12:MPT65 MFX12:MFX65 LWB12:LWB65 LMF12:LMF65 LCJ12:LCJ65 KSN12:KSN65 KIR12:KIR65 JYV12:JYV65 JOZ12:JOZ65 JFD12:JFD65 IVH12:IVH65 ILL12:ILL65 IBP12:IBP65 HRT12:HRT65 HHX12:HHX65 GYB12:GYB65 GOF12:GOF65 GEJ12:GEJ65 FUN12:FUN65 FKR12:FKR65 FAV12:FAV65 EQZ12:EQZ65 EHD12:EHD65 DXH12:DXH65 DNL12:DNL65 DDP12:DDP65 CTT12:CTT65 CJX12:CJX65 CAB12:CAB65 BQF12:BQF65 BGJ12:BGJ65 AWN12:AWN65 AMR12:AMR65 ACV12:ACV65 SZ12:SZ65 JD12:JD65 JD67:JD116" xr:uid="{C5C41DA7-CBD2-43B2-A506-43D49C555C39}">
      <formula1>$H$10</formula1>
    </dataValidation>
    <dataValidation type="whole" operator="lessThanOrEqual" allowBlank="1" showInputMessage="1" showErrorMessage="1" error="INPUT NUMBER LESS THAN OR EQUAL THE HIGHEST POSSIBLE SCORE" prompt="Input Raw Score" sqref="WVO983056:WVO983156 SY67:SY116 ACU67:ACU116 AMQ67:AMQ116 AWM67:AWM116 BGI67:BGI116 BQE67:BQE116 CAA67:CAA116 CJW67:CJW116 CTS67:CTS116 DDO67:DDO116 DNK67:DNK116 DXG67:DXG116 EHC67:EHC116 EQY67:EQY116 FAU67:FAU116 FKQ67:FKQ116 FUM67:FUM116 GEI67:GEI116 GOE67:GOE116 GYA67:GYA116 HHW67:HHW116 HRS67:HRS116 IBO67:IBO116 ILK67:ILK116 IVG67:IVG116 JFC67:JFC116 JOY67:JOY116 JYU67:JYU116 KIQ67:KIQ116 KSM67:KSM116 LCI67:LCI116 LME67:LME116 LWA67:LWA116 MFW67:MFW116 MPS67:MPS116 MZO67:MZO116 NJK67:NJK116 NTG67:NTG116 ODC67:ODC116 OMY67:OMY116 OWU67:OWU116 PGQ67:PGQ116 PQM67:PQM116 QAI67:QAI116 QKE67:QKE116 QUA67:QUA116 RDW67:RDW116 RNS67:RNS116 RXO67:RXO116 SHK67:SHK116 SRG67:SRG116 TBC67:TBC116 TKY67:TKY116 TUU67:TUU116 UEQ67:UEQ116 UOM67:UOM116 UYI67:UYI116 VIE67:VIE116 VSA67:VSA116 WBW67:WBW116 WLS67:WLS116 WVO67:WVO116 WLS983056:WLS983156 G65552:G65652 JC65552:JC65652 SY65552:SY65652 ACU65552:ACU65652 AMQ65552:AMQ65652 AWM65552:AWM65652 BGI65552:BGI65652 BQE65552:BQE65652 CAA65552:CAA65652 CJW65552:CJW65652 CTS65552:CTS65652 DDO65552:DDO65652 DNK65552:DNK65652 DXG65552:DXG65652 EHC65552:EHC65652 EQY65552:EQY65652 FAU65552:FAU65652 FKQ65552:FKQ65652 FUM65552:FUM65652 GEI65552:GEI65652 GOE65552:GOE65652 GYA65552:GYA65652 HHW65552:HHW65652 HRS65552:HRS65652 IBO65552:IBO65652 ILK65552:ILK65652 IVG65552:IVG65652 JFC65552:JFC65652 JOY65552:JOY65652 JYU65552:JYU65652 KIQ65552:KIQ65652 KSM65552:KSM65652 LCI65552:LCI65652 LME65552:LME65652 LWA65552:LWA65652 MFW65552:MFW65652 MPS65552:MPS65652 MZO65552:MZO65652 NJK65552:NJK65652 NTG65552:NTG65652 ODC65552:ODC65652 OMY65552:OMY65652 OWU65552:OWU65652 PGQ65552:PGQ65652 PQM65552:PQM65652 QAI65552:QAI65652 QKE65552:QKE65652 QUA65552:QUA65652 RDW65552:RDW65652 RNS65552:RNS65652 RXO65552:RXO65652 SHK65552:SHK65652 SRG65552:SRG65652 TBC65552:TBC65652 TKY65552:TKY65652 TUU65552:TUU65652 UEQ65552:UEQ65652 UOM65552:UOM65652 UYI65552:UYI65652 VIE65552:VIE65652 VSA65552:VSA65652 WBW65552:WBW65652 WLS65552:WLS65652 WVO65552:WVO65652 G131088:G131188 JC131088:JC131188 SY131088:SY131188 ACU131088:ACU131188 AMQ131088:AMQ131188 AWM131088:AWM131188 BGI131088:BGI131188 BQE131088:BQE131188 CAA131088:CAA131188 CJW131088:CJW131188 CTS131088:CTS131188 DDO131088:DDO131188 DNK131088:DNK131188 DXG131088:DXG131188 EHC131088:EHC131188 EQY131088:EQY131188 FAU131088:FAU131188 FKQ131088:FKQ131188 FUM131088:FUM131188 GEI131088:GEI131188 GOE131088:GOE131188 GYA131088:GYA131188 HHW131088:HHW131188 HRS131088:HRS131188 IBO131088:IBO131188 ILK131088:ILK131188 IVG131088:IVG131188 JFC131088:JFC131188 JOY131088:JOY131188 JYU131088:JYU131188 KIQ131088:KIQ131188 KSM131088:KSM131188 LCI131088:LCI131188 LME131088:LME131188 LWA131088:LWA131188 MFW131088:MFW131188 MPS131088:MPS131188 MZO131088:MZO131188 NJK131088:NJK131188 NTG131088:NTG131188 ODC131088:ODC131188 OMY131088:OMY131188 OWU131088:OWU131188 PGQ131088:PGQ131188 PQM131088:PQM131188 QAI131088:QAI131188 QKE131088:QKE131188 QUA131088:QUA131188 RDW131088:RDW131188 RNS131088:RNS131188 RXO131088:RXO131188 SHK131088:SHK131188 SRG131088:SRG131188 TBC131088:TBC131188 TKY131088:TKY131188 TUU131088:TUU131188 UEQ131088:UEQ131188 UOM131088:UOM131188 UYI131088:UYI131188 VIE131088:VIE131188 VSA131088:VSA131188 WBW131088:WBW131188 WLS131088:WLS131188 WVO131088:WVO131188 G196624:G196724 JC196624:JC196724 SY196624:SY196724 ACU196624:ACU196724 AMQ196624:AMQ196724 AWM196624:AWM196724 BGI196624:BGI196724 BQE196624:BQE196724 CAA196624:CAA196724 CJW196624:CJW196724 CTS196624:CTS196724 DDO196624:DDO196724 DNK196624:DNK196724 DXG196624:DXG196724 EHC196624:EHC196724 EQY196624:EQY196724 FAU196624:FAU196724 FKQ196624:FKQ196724 FUM196624:FUM196724 GEI196624:GEI196724 GOE196624:GOE196724 GYA196624:GYA196724 HHW196624:HHW196724 HRS196624:HRS196724 IBO196624:IBO196724 ILK196624:ILK196724 IVG196624:IVG196724 JFC196624:JFC196724 JOY196624:JOY196724 JYU196624:JYU196724 KIQ196624:KIQ196724 KSM196624:KSM196724 LCI196624:LCI196724 LME196624:LME196724 LWA196624:LWA196724 MFW196624:MFW196724 MPS196624:MPS196724 MZO196624:MZO196724 NJK196624:NJK196724 NTG196624:NTG196724 ODC196624:ODC196724 OMY196624:OMY196724 OWU196624:OWU196724 PGQ196624:PGQ196724 PQM196624:PQM196724 QAI196624:QAI196724 QKE196624:QKE196724 QUA196624:QUA196724 RDW196624:RDW196724 RNS196624:RNS196724 RXO196624:RXO196724 SHK196624:SHK196724 SRG196624:SRG196724 TBC196624:TBC196724 TKY196624:TKY196724 TUU196624:TUU196724 UEQ196624:UEQ196724 UOM196624:UOM196724 UYI196624:UYI196724 VIE196624:VIE196724 VSA196624:VSA196724 WBW196624:WBW196724 WLS196624:WLS196724 WVO196624:WVO196724 G262160:G262260 JC262160:JC262260 SY262160:SY262260 ACU262160:ACU262260 AMQ262160:AMQ262260 AWM262160:AWM262260 BGI262160:BGI262260 BQE262160:BQE262260 CAA262160:CAA262260 CJW262160:CJW262260 CTS262160:CTS262260 DDO262160:DDO262260 DNK262160:DNK262260 DXG262160:DXG262260 EHC262160:EHC262260 EQY262160:EQY262260 FAU262160:FAU262260 FKQ262160:FKQ262260 FUM262160:FUM262260 GEI262160:GEI262260 GOE262160:GOE262260 GYA262160:GYA262260 HHW262160:HHW262260 HRS262160:HRS262260 IBO262160:IBO262260 ILK262160:ILK262260 IVG262160:IVG262260 JFC262160:JFC262260 JOY262160:JOY262260 JYU262160:JYU262260 KIQ262160:KIQ262260 KSM262160:KSM262260 LCI262160:LCI262260 LME262160:LME262260 LWA262160:LWA262260 MFW262160:MFW262260 MPS262160:MPS262260 MZO262160:MZO262260 NJK262160:NJK262260 NTG262160:NTG262260 ODC262160:ODC262260 OMY262160:OMY262260 OWU262160:OWU262260 PGQ262160:PGQ262260 PQM262160:PQM262260 QAI262160:QAI262260 QKE262160:QKE262260 QUA262160:QUA262260 RDW262160:RDW262260 RNS262160:RNS262260 RXO262160:RXO262260 SHK262160:SHK262260 SRG262160:SRG262260 TBC262160:TBC262260 TKY262160:TKY262260 TUU262160:TUU262260 UEQ262160:UEQ262260 UOM262160:UOM262260 UYI262160:UYI262260 VIE262160:VIE262260 VSA262160:VSA262260 WBW262160:WBW262260 WLS262160:WLS262260 WVO262160:WVO262260 G327696:G327796 JC327696:JC327796 SY327696:SY327796 ACU327696:ACU327796 AMQ327696:AMQ327796 AWM327696:AWM327796 BGI327696:BGI327796 BQE327696:BQE327796 CAA327696:CAA327796 CJW327696:CJW327796 CTS327696:CTS327796 DDO327696:DDO327796 DNK327696:DNK327796 DXG327696:DXG327796 EHC327696:EHC327796 EQY327696:EQY327796 FAU327696:FAU327796 FKQ327696:FKQ327796 FUM327696:FUM327796 GEI327696:GEI327796 GOE327696:GOE327796 GYA327696:GYA327796 HHW327696:HHW327796 HRS327696:HRS327796 IBO327696:IBO327796 ILK327696:ILK327796 IVG327696:IVG327796 JFC327696:JFC327796 JOY327696:JOY327796 JYU327696:JYU327796 KIQ327696:KIQ327796 KSM327696:KSM327796 LCI327696:LCI327796 LME327696:LME327796 LWA327696:LWA327796 MFW327696:MFW327796 MPS327696:MPS327796 MZO327696:MZO327796 NJK327696:NJK327796 NTG327696:NTG327796 ODC327696:ODC327796 OMY327696:OMY327796 OWU327696:OWU327796 PGQ327696:PGQ327796 PQM327696:PQM327796 QAI327696:QAI327796 QKE327696:QKE327796 QUA327696:QUA327796 RDW327696:RDW327796 RNS327696:RNS327796 RXO327696:RXO327796 SHK327696:SHK327796 SRG327696:SRG327796 TBC327696:TBC327796 TKY327696:TKY327796 TUU327696:TUU327796 UEQ327696:UEQ327796 UOM327696:UOM327796 UYI327696:UYI327796 VIE327696:VIE327796 VSA327696:VSA327796 WBW327696:WBW327796 WLS327696:WLS327796 WVO327696:WVO327796 G393232:G393332 JC393232:JC393332 SY393232:SY393332 ACU393232:ACU393332 AMQ393232:AMQ393332 AWM393232:AWM393332 BGI393232:BGI393332 BQE393232:BQE393332 CAA393232:CAA393332 CJW393232:CJW393332 CTS393232:CTS393332 DDO393232:DDO393332 DNK393232:DNK393332 DXG393232:DXG393332 EHC393232:EHC393332 EQY393232:EQY393332 FAU393232:FAU393332 FKQ393232:FKQ393332 FUM393232:FUM393332 GEI393232:GEI393332 GOE393232:GOE393332 GYA393232:GYA393332 HHW393232:HHW393332 HRS393232:HRS393332 IBO393232:IBO393332 ILK393232:ILK393332 IVG393232:IVG393332 JFC393232:JFC393332 JOY393232:JOY393332 JYU393232:JYU393332 KIQ393232:KIQ393332 KSM393232:KSM393332 LCI393232:LCI393332 LME393232:LME393332 LWA393232:LWA393332 MFW393232:MFW393332 MPS393232:MPS393332 MZO393232:MZO393332 NJK393232:NJK393332 NTG393232:NTG393332 ODC393232:ODC393332 OMY393232:OMY393332 OWU393232:OWU393332 PGQ393232:PGQ393332 PQM393232:PQM393332 QAI393232:QAI393332 QKE393232:QKE393332 QUA393232:QUA393332 RDW393232:RDW393332 RNS393232:RNS393332 RXO393232:RXO393332 SHK393232:SHK393332 SRG393232:SRG393332 TBC393232:TBC393332 TKY393232:TKY393332 TUU393232:TUU393332 UEQ393232:UEQ393332 UOM393232:UOM393332 UYI393232:UYI393332 VIE393232:VIE393332 VSA393232:VSA393332 WBW393232:WBW393332 WLS393232:WLS393332 WVO393232:WVO393332 G458768:G458868 JC458768:JC458868 SY458768:SY458868 ACU458768:ACU458868 AMQ458768:AMQ458868 AWM458768:AWM458868 BGI458768:BGI458868 BQE458768:BQE458868 CAA458768:CAA458868 CJW458768:CJW458868 CTS458768:CTS458868 DDO458768:DDO458868 DNK458768:DNK458868 DXG458768:DXG458868 EHC458768:EHC458868 EQY458768:EQY458868 FAU458768:FAU458868 FKQ458768:FKQ458868 FUM458768:FUM458868 GEI458768:GEI458868 GOE458768:GOE458868 GYA458768:GYA458868 HHW458768:HHW458868 HRS458768:HRS458868 IBO458768:IBO458868 ILK458768:ILK458868 IVG458768:IVG458868 JFC458768:JFC458868 JOY458768:JOY458868 JYU458768:JYU458868 KIQ458768:KIQ458868 KSM458768:KSM458868 LCI458768:LCI458868 LME458768:LME458868 LWA458768:LWA458868 MFW458768:MFW458868 MPS458768:MPS458868 MZO458768:MZO458868 NJK458768:NJK458868 NTG458768:NTG458868 ODC458768:ODC458868 OMY458768:OMY458868 OWU458768:OWU458868 PGQ458768:PGQ458868 PQM458768:PQM458868 QAI458768:QAI458868 QKE458768:QKE458868 QUA458768:QUA458868 RDW458768:RDW458868 RNS458768:RNS458868 RXO458768:RXO458868 SHK458768:SHK458868 SRG458768:SRG458868 TBC458768:TBC458868 TKY458768:TKY458868 TUU458768:TUU458868 UEQ458768:UEQ458868 UOM458768:UOM458868 UYI458768:UYI458868 VIE458768:VIE458868 VSA458768:VSA458868 WBW458768:WBW458868 WLS458768:WLS458868 WVO458768:WVO458868 G524304:G524404 JC524304:JC524404 SY524304:SY524404 ACU524304:ACU524404 AMQ524304:AMQ524404 AWM524304:AWM524404 BGI524304:BGI524404 BQE524304:BQE524404 CAA524304:CAA524404 CJW524304:CJW524404 CTS524304:CTS524404 DDO524304:DDO524404 DNK524304:DNK524404 DXG524304:DXG524404 EHC524304:EHC524404 EQY524304:EQY524404 FAU524304:FAU524404 FKQ524304:FKQ524404 FUM524304:FUM524404 GEI524304:GEI524404 GOE524304:GOE524404 GYA524304:GYA524404 HHW524304:HHW524404 HRS524304:HRS524404 IBO524304:IBO524404 ILK524304:ILK524404 IVG524304:IVG524404 JFC524304:JFC524404 JOY524304:JOY524404 JYU524304:JYU524404 KIQ524304:KIQ524404 KSM524304:KSM524404 LCI524304:LCI524404 LME524304:LME524404 LWA524304:LWA524404 MFW524304:MFW524404 MPS524304:MPS524404 MZO524304:MZO524404 NJK524304:NJK524404 NTG524304:NTG524404 ODC524304:ODC524404 OMY524304:OMY524404 OWU524304:OWU524404 PGQ524304:PGQ524404 PQM524304:PQM524404 QAI524304:QAI524404 QKE524304:QKE524404 QUA524304:QUA524404 RDW524304:RDW524404 RNS524304:RNS524404 RXO524304:RXO524404 SHK524304:SHK524404 SRG524304:SRG524404 TBC524304:TBC524404 TKY524304:TKY524404 TUU524304:TUU524404 UEQ524304:UEQ524404 UOM524304:UOM524404 UYI524304:UYI524404 VIE524304:VIE524404 VSA524304:VSA524404 WBW524304:WBW524404 WLS524304:WLS524404 WVO524304:WVO524404 G589840:G589940 JC589840:JC589940 SY589840:SY589940 ACU589840:ACU589940 AMQ589840:AMQ589940 AWM589840:AWM589940 BGI589840:BGI589940 BQE589840:BQE589940 CAA589840:CAA589940 CJW589840:CJW589940 CTS589840:CTS589940 DDO589840:DDO589940 DNK589840:DNK589940 DXG589840:DXG589940 EHC589840:EHC589940 EQY589840:EQY589940 FAU589840:FAU589940 FKQ589840:FKQ589940 FUM589840:FUM589940 GEI589840:GEI589940 GOE589840:GOE589940 GYA589840:GYA589940 HHW589840:HHW589940 HRS589840:HRS589940 IBO589840:IBO589940 ILK589840:ILK589940 IVG589840:IVG589940 JFC589840:JFC589940 JOY589840:JOY589940 JYU589840:JYU589940 KIQ589840:KIQ589940 KSM589840:KSM589940 LCI589840:LCI589940 LME589840:LME589940 LWA589840:LWA589940 MFW589840:MFW589940 MPS589840:MPS589940 MZO589840:MZO589940 NJK589840:NJK589940 NTG589840:NTG589940 ODC589840:ODC589940 OMY589840:OMY589940 OWU589840:OWU589940 PGQ589840:PGQ589940 PQM589840:PQM589940 QAI589840:QAI589940 QKE589840:QKE589940 QUA589840:QUA589940 RDW589840:RDW589940 RNS589840:RNS589940 RXO589840:RXO589940 SHK589840:SHK589940 SRG589840:SRG589940 TBC589840:TBC589940 TKY589840:TKY589940 TUU589840:TUU589940 UEQ589840:UEQ589940 UOM589840:UOM589940 UYI589840:UYI589940 VIE589840:VIE589940 VSA589840:VSA589940 WBW589840:WBW589940 WLS589840:WLS589940 WVO589840:WVO589940 G655376:G655476 JC655376:JC655476 SY655376:SY655476 ACU655376:ACU655476 AMQ655376:AMQ655476 AWM655376:AWM655476 BGI655376:BGI655476 BQE655376:BQE655476 CAA655376:CAA655476 CJW655376:CJW655476 CTS655376:CTS655476 DDO655376:DDO655476 DNK655376:DNK655476 DXG655376:DXG655476 EHC655376:EHC655476 EQY655376:EQY655476 FAU655376:FAU655476 FKQ655376:FKQ655476 FUM655376:FUM655476 GEI655376:GEI655476 GOE655376:GOE655476 GYA655376:GYA655476 HHW655376:HHW655476 HRS655376:HRS655476 IBO655376:IBO655476 ILK655376:ILK655476 IVG655376:IVG655476 JFC655376:JFC655476 JOY655376:JOY655476 JYU655376:JYU655476 KIQ655376:KIQ655476 KSM655376:KSM655476 LCI655376:LCI655476 LME655376:LME655476 LWA655376:LWA655476 MFW655376:MFW655476 MPS655376:MPS655476 MZO655376:MZO655476 NJK655376:NJK655476 NTG655376:NTG655476 ODC655376:ODC655476 OMY655376:OMY655476 OWU655376:OWU655476 PGQ655376:PGQ655476 PQM655376:PQM655476 QAI655376:QAI655476 QKE655376:QKE655476 QUA655376:QUA655476 RDW655376:RDW655476 RNS655376:RNS655476 RXO655376:RXO655476 SHK655376:SHK655476 SRG655376:SRG655476 TBC655376:TBC655476 TKY655376:TKY655476 TUU655376:TUU655476 UEQ655376:UEQ655476 UOM655376:UOM655476 UYI655376:UYI655476 VIE655376:VIE655476 VSA655376:VSA655476 WBW655376:WBW655476 WLS655376:WLS655476 WVO655376:WVO655476 G720912:G721012 JC720912:JC721012 SY720912:SY721012 ACU720912:ACU721012 AMQ720912:AMQ721012 AWM720912:AWM721012 BGI720912:BGI721012 BQE720912:BQE721012 CAA720912:CAA721012 CJW720912:CJW721012 CTS720912:CTS721012 DDO720912:DDO721012 DNK720912:DNK721012 DXG720912:DXG721012 EHC720912:EHC721012 EQY720912:EQY721012 FAU720912:FAU721012 FKQ720912:FKQ721012 FUM720912:FUM721012 GEI720912:GEI721012 GOE720912:GOE721012 GYA720912:GYA721012 HHW720912:HHW721012 HRS720912:HRS721012 IBO720912:IBO721012 ILK720912:ILK721012 IVG720912:IVG721012 JFC720912:JFC721012 JOY720912:JOY721012 JYU720912:JYU721012 KIQ720912:KIQ721012 KSM720912:KSM721012 LCI720912:LCI721012 LME720912:LME721012 LWA720912:LWA721012 MFW720912:MFW721012 MPS720912:MPS721012 MZO720912:MZO721012 NJK720912:NJK721012 NTG720912:NTG721012 ODC720912:ODC721012 OMY720912:OMY721012 OWU720912:OWU721012 PGQ720912:PGQ721012 PQM720912:PQM721012 QAI720912:QAI721012 QKE720912:QKE721012 QUA720912:QUA721012 RDW720912:RDW721012 RNS720912:RNS721012 RXO720912:RXO721012 SHK720912:SHK721012 SRG720912:SRG721012 TBC720912:TBC721012 TKY720912:TKY721012 TUU720912:TUU721012 UEQ720912:UEQ721012 UOM720912:UOM721012 UYI720912:UYI721012 VIE720912:VIE721012 VSA720912:VSA721012 WBW720912:WBW721012 WLS720912:WLS721012 WVO720912:WVO721012 G786448:G786548 JC786448:JC786548 SY786448:SY786548 ACU786448:ACU786548 AMQ786448:AMQ786548 AWM786448:AWM786548 BGI786448:BGI786548 BQE786448:BQE786548 CAA786448:CAA786548 CJW786448:CJW786548 CTS786448:CTS786548 DDO786448:DDO786548 DNK786448:DNK786548 DXG786448:DXG786548 EHC786448:EHC786548 EQY786448:EQY786548 FAU786448:FAU786548 FKQ786448:FKQ786548 FUM786448:FUM786548 GEI786448:GEI786548 GOE786448:GOE786548 GYA786448:GYA786548 HHW786448:HHW786548 HRS786448:HRS786548 IBO786448:IBO786548 ILK786448:ILK786548 IVG786448:IVG786548 JFC786448:JFC786548 JOY786448:JOY786548 JYU786448:JYU786548 KIQ786448:KIQ786548 KSM786448:KSM786548 LCI786448:LCI786548 LME786448:LME786548 LWA786448:LWA786548 MFW786448:MFW786548 MPS786448:MPS786548 MZO786448:MZO786548 NJK786448:NJK786548 NTG786448:NTG786548 ODC786448:ODC786548 OMY786448:OMY786548 OWU786448:OWU786548 PGQ786448:PGQ786548 PQM786448:PQM786548 QAI786448:QAI786548 QKE786448:QKE786548 QUA786448:QUA786548 RDW786448:RDW786548 RNS786448:RNS786548 RXO786448:RXO786548 SHK786448:SHK786548 SRG786448:SRG786548 TBC786448:TBC786548 TKY786448:TKY786548 TUU786448:TUU786548 UEQ786448:UEQ786548 UOM786448:UOM786548 UYI786448:UYI786548 VIE786448:VIE786548 VSA786448:VSA786548 WBW786448:WBW786548 WLS786448:WLS786548 WVO786448:WVO786548 G851984:G852084 JC851984:JC852084 SY851984:SY852084 ACU851984:ACU852084 AMQ851984:AMQ852084 AWM851984:AWM852084 BGI851984:BGI852084 BQE851984:BQE852084 CAA851984:CAA852084 CJW851984:CJW852084 CTS851984:CTS852084 DDO851984:DDO852084 DNK851984:DNK852084 DXG851984:DXG852084 EHC851984:EHC852084 EQY851984:EQY852084 FAU851984:FAU852084 FKQ851984:FKQ852084 FUM851984:FUM852084 GEI851984:GEI852084 GOE851984:GOE852084 GYA851984:GYA852084 HHW851984:HHW852084 HRS851984:HRS852084 IBO851984:IBO852084 ILK851984:ILK852084 IVG851984:IVG852084 JFC851984:JFC852084 JOY851984:JOY852084 JYU851984:JYU852084 KIQ851984:KIQ852084 KSM851984:KSM852084 LCI851984:LCI852084 LME851984:LME852084 LWA851984:LWA852084 MFW851984:MFW852084 MPS851984:MPS852084 MZO851984:MZO852084 NJK851984:NJK852084 NTG851984:NTG852084 ODC851984:ODC852084 OMY851984:OMY852084 OWU851984:OWU852084 PGQ851984:PGQ852084 PQM851984:PQM852084 QAI851984:QAI852084 QKE851984:QKE852084 QUA851984:QUA852084 RDW851984:RDW852084 RNS851984:RNS852084 RXO851984:RXO852084 SHK851984:SHK852084 SRG851984:SRG852084 TBC851984:TBC852084 TKY851984:TKY852084 TUU851984:TUU852084 UEQ851984:UEQ852084 UOM851984:UOM852084 UYI851984:UYI852084 VIE851984:VIE852084 VSA851984:VSA852084 WBW851984:WBW852084 WLS851984:WLS852084 WVO851984:WVO852084 G917520:G917620 JC917520:JC917620 SY917520:SY917620 ACU917520:ACU917620 AMQ917520:AMQ917620 AWM917520:AWM917620 BGI917520:BGI917620 BQE917520:BQE917620 CAA917520:CAA917620 CJW917520:CJW917620 CTS917520:CTS917620 DDO917520:DDO917620 DNK917520:DNK917620 DXG917520:DXG917620 EHC917520:EHC917620 EQY917520:EQY917620 FAU917520:FAU917620 FKQ917520:FKQ917620 FUM917520:FUM917620 GEI917520:GEI917620 GOE917520:GOE917620 GYA917520:GYA917620 HHW917520:HHW917620 HRS917520:HRS917620 IBO917520:IBO917620 ILK917520:ILK917620 IVG917520:IVG917620 JFC917520:JFC917620 JOY917520:JOY917620 JYU917520:JYU917620 KIQ917520:KIQ917620 KSM917520:KSM917620 LCI917520:LCI917620 LME917520:LME917620 LWA917520:LWA917620 MFW917520:MFW917620 MPS917520:MPS917620 MZO917520:MZO917620 NJK917520:NJK917620 NTG917520:NTG917620 ODC917520:ODC917620 OMY917520:OMY917620 OWU917520:OWU917620 PGQ917520:PGQ917620 PQM917520:PQM917620 QAI917520:QAI917620 QKE917520:QKE917620 QUA917520:QUA917620 RDW917520:RDW917620 RNS917520:RNS917620 RXO917520:RXO917620 SHK917520:SHK917620 SRG917520:SRG917620 TBC917520:TBC917620 TKY917520:TKY917620 TUU917520:TUU917620 UEQ917520:UEQ917620 UOM917520:UOM917620 UYI917520:UYI917620 VIE917520:VIE917620 VSA917520:VSA917620 WBW917520:WBW917620 WLS917520:WLS917620 WVO917520:WVO917620 G983056:G983156 JC983056:JC983156 SY983056:SY983156 ACU983056:ACU983156 AMQ983056:AMQ983156 AWM983056:AWM983156 BGI983056:BGI983156 BQE983056:BQE983156 CAA983056:CAA983156 CJW983056:CJW983156 CTS983056:CTS983156 DDO983056:DDO983156 DNK983056:DNK983156 DXG983056:DXG983156 EHC983056:EHC983156 EQY983056:EQY983156 FAU983056:FAU983156 FKQ983056:FKQ983156 FUM983056:FUM983156 GEI983056:GEI983156 GOE983056:GOE983156 GYA983056:GYA983156 HHW983056:HHW983156 HRS983056:HRS983156 IBO983056:IBO983156 ILK983056:ILK983156 IVG983056:IVG983156 JFC983056:JFC983156 JOY983056:JOY983156 JYU983056:JYU983156 KIQ983056:KIQ983156 KSM983056:KSM983156 LCI983056:LCI983156 LME983056:LME983156 LWA983056:LWA983156 MFW983056:MFW983156 MPS983056:MPS983156 MZO983056:MZO983156 NJK983056:NJK983156 NTG983056:NTG983156 ODC983056:ODC983156 OMY983056:OMY983156 OWU983056:OWU983156 PGQ983056:PGQ983156 PQM983056:PQM983156 QAI983056:QAI983156 QKE983056:QKE983156 QUA983056:QUA983156 RDW983056:RDW983156 RNS983056:RNS983156 RXO983056:RXO983156 SHK983056:SHK983156 SRG983056:SRG983156 TBC983056:TBC983156 TKY983056:TKY983156 TUU983056:TUU983156 UEQ983056:UEQ983156 UOM983056:UOM983156 UYI983056:UYI983156 VIE983056:VIE983156 VSA983056:VSA983156 WBW983056:WBW983156 WVO12:WVO65 WLS12:WLS65 WBW12:WBW65 VSA12:VSA65 VIE12:VIE65 UYI12:UYI65 UOM12:UOM65 UEQ12:UEQ65 TUU12:TUU65 TKY12:TKY65 TBC12:TBC65 SRG12:SRG65 SHK12:SHK65 RXO12:RXO65 RNS12:RNS65 RDW12:RDW65 QUA12:QUA65 QKE12:QKE65 QAI12:QAI65 PQM12:PQM65 PGQ12:PGQ65 OWU12:OWU65 OMY12:OMY65 ODC12:ODC65 NTG12:NTG65 NJK12:NJK65 MZO12:MZO65 MPS12:MPS65 MFW12:MFW65 LWA12:LWA65 LME12:LME65 LCI12:LCI65 KSM12:KSM65 KIQ12:KIQ65 JYU12:JYU65 JOY12:JOY65 JFC12:JFC65 IVG12:IVG65 ILK12:ILK65 IBO12:IBO65 HRS12:HRS65 HHW12:HHW65 GYA12:GYA65 GOE12:GOE65 GEI12:GEI65 FUM12:FUM65 FKQ12:FKQ65 FAU12:FAU65 EQY12:EQY65 EHC12:EHC65 DXG12:DXG65 DNK12:DNK65 DDO12:DDO65 CTS12:CTS65 CJW12:CJW65 CAA12:CAA65 BQE12:BQE65 BGI12:BGI65 AWM12:AWM65 AMQ12:AMQ65 ACU12:ACU65 SY12:SY65 JC12:JC65 JC67:JC116" xr:uid="{82536DA8-2C88-45DD-9BB9-192866EC2290}">
      <formula1>$G$10</formula1>
    </dataValidation>
    <dataValidation type="whole" operator="lessThanOrEqual" allowBlank="1" showInputMessage="1" showErrorMessage="1" error="INPUT NUMBER LESS THAN OR EQUAL THE HIGHEST POSSIBLE SCORE" prompt="Input Raw Score" sqref="WVN983056:WVN983156 SX67:SX116 ACT67:ACT116 AMP67:AMP116 AWL67:AWL116 BGH67:BGH116 BQD67:BQD116 BZZ67:BZZ116 CJV67:CJV116 CTR67:CTR116 DDN67:DDN116 DNJ67:DNJ116 DXF67:DXF116 EHB67:EHB116 EQX67:EQX116 FAT67:FAT116 FKP67:FKP116 FUL67:FUL116 GEH67:GEH116 GOD67:GOD116 GXZ67:GXZ116 HHV67:HHV116 HRR67:HRR116 IBN67:IBN116 ILJ67:ILJ116 IVF67:IVF116 JFB67:JFB116 JOX67:JOX116 JYT67:JYT116 KIP67:KIP116 KSL67:KSL116 LCH67:LCH116 LMD67:LMD116 LVZ67:LVZ116 MFV67:MFV116 MPR67:MPR116 MZN67:MZN116 NJJ67:NJJ116 NTF67:NTF116 ODB67:ODB116 OMX67:OMX116 OWT67:OWT116 PGP67:PGP116 PQL67:PQL116 QAH67:QAH116 QKD67:QKD116 QTZ67:QTZ116 RDV67:RDV116 RNR67:RNR116 RXN67:RXN116 SHJ67:SHJ116 SRF67:SRF116 TBB67:TBB116 TKX67:TKX116 TUT67:TUT116 UEP67:UEP116 UOL67:UOL116 UYH67:UYH116 VID67:VID116 VRZ67:VRZ116 WBV67:WBV116 WLR67:WLR116 WVN67:WVN116 WLR983056:WLR983156 F65552:F65652 JB65552:JB65652 SX65552:SX65652 ACT65552:ACT65652 AMP65552:AMP65652 AWL65552:AWL65652 BGH65552:BGH65652 BQD65552:BQD65652 BZZ65552:BZZ65652 CJV65552:CJV65652 CTR65552:CTR65652 DDN65552:DDN65652 DNJ65552:DNJ65652 DXF65552:DXF65652 EHB65552:EHB65652 EQX65552:EQX65652 FAT65552:FAT65652 FKP65552:FKP65652 FUL65552:FUL65652 GEH65552:GEH65652 GOD65552:GOD65652 GXZ65552:GXZ65652 HHV65552:HHV65652 HRR65552:HRR65652 IBN65552:IBN65652 ILJ65552:ILJ65652 IVF65552:IVF65652 JFB65552:JFB65652 JOX65552:JOX65652 JYT65552:JYT65652 KIP65552:KIP65652 KSL65552:KSL65652 LCH65552:LCH65652 LMD65552:LMD65652 LVZ65552:LVZ65652 MFV65552:MFV65652 MPR65552:MPR65652 MZN65552:MZN65652 NJJ65552:NJJ65652 NTF65552:NTF65652 ODB65552:ODB65652 OMX65552:OMX65652 OWT65552:OWT65652 PGP65552:PGP65652 PQL65552:PQL65652 QAH65552:QAH65652 QKD65552:QKD65652 QTZ65552:QTZ65652 RDV65552:RDV65652 RNR65552:RNR65652 RXN65552:RXN65652 SHJ65552:SHJ65652 SRF65552:SRF65652 TBB65552:TBB65652 TKX65552:TKX65652 TUT65552:TUT65652 UEP65552:UEP65652 UOL65552:UOL65652 UYH65552:UYH65652 VID65552:VID65652 VRZ65552:VRZ65652 WBV65552:WBV65652 WLR65552:WLR65652 WVN65552:WVN65652 F131088:F131188 JB131088:JB131188 SX131088:SX131188 ACT131088:ACT131188 AMP131088:AMP131188 AWL131088:AWL131188 BGH131088:BGH131188 BQD131088:BQD131188 BZZ131088:BZZ131188 CJV131088:CJV131188 CTR131088:CTR131188 DDN131088:DDN131188 DNJ131088:DNJ131188 DXF131088:DXF131188 EHB131088:EHB131188 EQX131088:EQX131188 FAT131088:FAT131188 FKP131088:FKP131188 FUL131088:FUL131188 GEH131088:GEH131188 GOD131088:GOD131188 GXZ131088:GXZ131188 HHV131088:HHV131188 HRR131088:HRR131188 IBN131088:IBN131188 ILJ131088:ILJ131188 IVF131088:IVF131188 JFB131088:JFB131188 JOX131088:JOX131188 JYT131088:JYT131188 KIP131088:KIP131188 KSL131088:KSL131188 LCH131088:LCH131188 LMD131088:LMD131188 LVZ131088:LVZ131188 MFV131088:MFV131188 MPR131088:MPR131188 MZN131088:MZN131188 NJJ131088:NJJ131188 NTF131088:NTF131188 ODB131088:ODB131188 OMX131088:OMX131188 OWT131088:OWT131188 PGP131088:PGP131188 PQL131088:PQL131188 QAH131088:QAH131188 QKD131088:QKD131188 QTZ131088:QTZ131188 RDV131088:RDV131188 RNR131088:RNR131188 RXN131088:RXN131188 SHJ131088:SHJ131188 SRF131088:SRF131188 TBB131088:TBB131188 TKX131088:TKX131188 TUT131088:TUT131188 UEP131088:UEP131188 UOL131088:UOL131188 UYH131088:UYH131188 VID131088:VID131188 VRZ131088:VRZ131188 WBV131088:WBV131188 WLR131088:WLR131188 WVN131088:WVN131188 F196624:F196724 JB196624:JB196724 SX196624:SX196724 ACT196624:ACT196724 AMP196624:AMP196724 AWL196624:AWL196724 BGH196624:BGH196724 BQD196624:BQD196724 BZZ196624:BZZ196724 CJV196624:CJV196724 CTR196624:CTR196724 DDN196624:DDN196724 DNJ196624:DNJ196724 DXF196624:DXF196724 EHB196624:EHB196724 EQX196624:EQX196724 FAT196624:FAT196724 FKP196624:FKP196724 FUL196624:FUL196724 GEH196624:GEH196724 GOD196624:GOD196724 GXZ196624:GXZ196724 HHV196624:HHV196724 HRR196624:HRR196724 IBN196624:IBN196724 ILJ196624:ILJ196724 IVF196624:IVF196724 JFB196624:JFB196724 JOX196624:JOX196724 JYT196624:JYT196724 KIP196624:KIP196724 KSL196624:KSL196724 LCH196624:LCH196724 LMD196624:LMD196724 LVZ196624:LVZ196724 MFV196624:MFV196724 MPR196624:MPR196724 MZN196624:MZN196724 NJJ196624:NJJ196724 NTF196624:NTF196724 ODB196624:ODB196724 OMX196624:OMX196724 OWT196624:OWT196724 PGP196624:PGP196724 PQL196624:PQL196724 QAH196624:QAH196724 QKD196624:QKD196724 QTZ196624:QTZ196724 RDV196624:RDV196724 RNR196624:RNR196724 RXN196624:RXN196724 SHJ196624:SHJ196724 SRF196624:SRF196724 TBB196624:TBB196724 TKX196624:TKX196724 TUT196624:TUT196724 UEP196624:UEP196724 UOL196624:UOL196724 UYH196624:UYH196724 VID196624:VID196724 VRZ196624:VRZ196724 WBV196624:WBV196724 WLR196624:WLR196724 WVN196624:WVN196724 F262160:F262260 JB262160:JB262260 SX262160:SX262260 ACT262160:ACT262260 AMP262160:AMP262260 AWL262160:AWL262260 BGH262160:BGH262260 BQD262160:BQD262260 BZZ262160:BZZ262260 CJV262160:CJV262260 CTR262160:CTR262260 DDN262160:DDN262260 DNJ262160:DNJ262260 DXF262160:DXF262260 EHB262160:EHB262260 EQX262160:EQX262260 FAT262160:FAT262260 FKP262160:FKP262260 FUL262160:FUL262260 GEH262160:GEH262260 GOD262160:GOD262260 GXZ262160:GXZ262260 HHV262160:HHV262260 HRR262160:HRR262260 IBN262160:IBN262260 ILJ262160:ILJ262260 IVF262160:IVF262260 JFB262160:JFB262260 JOX262160:JOX262260 JYT262160:JYT262260 KIP262160:KIP262260 KSL262160:KSL262260 LCH262160:LCH262260 LMD262160:LMD262260 LVZ262160:LVZ262260 MFV262160:MFV262260 MPR262160:MPR262260 MZN262160:MZN262260 NJJ262160:NJJ262260 NTF262160:NTF262260 ODB262160:ODB262260 OMX262160:OMX262260 OWT262160:OWT262260 PGP262160:PGP262260 PQL262160:PQL262260 QAH262160:QAH262260 QKD262160:QKD262260 QTZ262160:QTZ262260 RDV262160:RDV262260 RNR262160:RNR262260 RXN262160:RXN262260 SHJ262160:SHJ262260 SRF262160:SRF262260 TBB262160:TBB262260 TKX262160:TKX262260 TUT262160:TUT262260 UEP262160:UEP262260 UOL262160:UOL262260 UYH262160:UYH262260 VID262160:VID262260 VRZ262160:VRZ262260 WBV262160:WBV262260 WLR262160:WLR262260 WVN262160:WVN262260 F327696:F327796 JB327696:JB327796 SX327696:SX327796 ACT327696:ACT327796 AMP327696:AMP327796 AWL327696:AWL327796 BGH327696:BGH327796 BQD327696:BQD327796 BZZ327696:BZZ327796 CJV327696:CJV327796 CTR327696:CTR327796 DDN327696:DDN327796 DNJ327696:DNJ327796 DXF327696:DXF327796 EHB327696:EHB327796 EQX327696:EQX327796 FAT327696:FAT327796 FKP327696:FKP327796 FUL327696:FUL327796 GEH327696:GEH327796 GOD327696:GOD327796 GXZ327696:GXZ327796 HHV327696:HHV327796 HRR327696:HRR327796 IBN327696:IBN327796 ILJ327696:ILJ327796 IVF327696:IVF327796 JFB327696:JFB327796 JOX327696:JOX327796 JYT327696:JYT327796 KIP327696:KIP327796 KSL327696:KSL327796 LCH327696:LCH327796 LMD327696:LMD327796 LVZ327696:LVZ327796 MFV327696:MFV327796 MPR327696:MPR327796 MZN327696:MZN327796 NJJ327696:NJJ327796 NTF327696:NTF327796 ODB327696:ODB327796 OMX327696:OMX327796 OWT327696:OWT327796 PGP327696:PGP327796 PQL327696:PQL327796 QAH327696:QAH327796 QKD327696:QKD327796 QTZ327696:QTZ327796 RDV327696:RDV327796 RNR327696:RNR327796 RXN327696:RXN327796 SHJ327696:SHJ327796 SRF327696:SRF327796 TBB327696:TBB327796 TKX327696:TKX327796 TUT327696:TUT327796 UEP327696:UEP327796 UOL327696:UOL327796 UYH327696:UYH327796 VID327696:VID327796 VRZ327696:VRZ327796 WBV327696:WBV327796 WLR327696:WLR327796 WVN327696:WVN327796 F393232:F393332 JB393232:JB393332 SX393232:SX393332 ACT393232:ACT393332 AMP393232:AMP393332 AWL393232:AWL393332 BGH393232:BGH393332 BQD393232:BQD393332 BZZ393232:BZZ393332 CJV393232:CJV393332 CTR393232:CTR393332 DDN393232:DDN393332 DNJ393232:DNJ393332 DXF393232:DXF393332 EHB393232:EHB393332 EQX393232:EQX393332 FAT393232:FAT393332 FKP393232:FKP393332 FUL393232:FUL393332 GEH393232:GEH393332 GOD393232:GOD393332 GXZ393232:GXZ393332 HHV393232:HHV393332 HRR393232:HRR393332 IBN393232:IBN393332 ILJ393232:ILJ393332 IVF393232:IVF393332 JFB393232:JFB393332 JOX393232:JOX393332 JYT393232:JYT393332 KIP393232:KIP393332 KSL393232:KSL393332 LCH393232:LCH393332 LMD393232:LMD393332 LVZ393232:LVZ393332 MFV393232:MFV393332 MPR393232:MPR393332 MZN393232:MZN393332 NJJ393232:NJJ393332 NTF393232:NTF393332 ODB393232:ODB393332 OMX393232:OMX393332 OWT393232:OWT393332 PGP393232:PGP393332 PQL393232:PQL393332 QAH393232:QAH393332 QKD393232:QKD393332 QTZ393232:QTZ393332 RDV393232:RDV393332 RNR393232:RNR393332 RXN393232:RXN393332 SHJ393232:SHJ393332 SRF393232:SRF393332 TBB393232:TBB393332 TKX393232:TKX393332 TUT393232:TUT393332 UEP393232:UEP393332 UOL393232:UOL393332 UYH393232:UYH393332 VID393232:VID393332 VRZ393232:VRZ393332 WBV393232:WBV393332 WLR393232:WLR393332 WVN393232:WVN393332 F458768:F458868 JB458768:JB458868 SX458768:SX458868 ACT458768:ACT458868 AMP458768:AMP458868 AWL458768:AWL458868 BGH458768:BGH458868 BQD458768:BQD458868 BZZ458768:BZZ458868 CJV458768:CJV458868 CTR458768:CTR458868 DDN458768:DDN458868 DNJ458768:DNJ458868 DXF458768:DXF458868 EHB458768:EHB458868 EQX458768:EQX458868 FAT458768:FAT458868 FKP458768:FKP458868 FUL458768:FUL458868 GEH458768:GEH458868 GOD458768:GOD458868 GXZ458768:GXZ458868 HHV458768:HHV458868 HRR458768:HRR458868 IBN458768:IBN458868 ILJ458768:ILJ458868 IVF458768:IVF458868 JFB458768:JFB458868 JOX458768:JOX458868 JYT458768:JYT458868 KIP458768:KIP458868 KSL458768:KSL458868 LCH458768:LCH458868 LMD458768:LMD458868 LVZ458768:LVZ458868 MFV458768:MFV458868 MPR458768:MPR458868 MZN458768:MZN458868 NJJ458768:NJJ458868 NTF458768:NTF458868 ODB458768:ODB458868 OMX458768:OMX458868 OWT458768:OWT458868 PGP458768:PGP458868 PQL458768:PQL458868 QAH458768:QAH458868 QKD458768:QKD458868 QTZ458768:QTZ458868 RDV458768:RDV458868 RNR458768:RNR458868 RXN458768:RXN458868 SHJ458768:SHJ458868 SRF458768:SRF458868 TBB458768:TBB458868 TKX458768:TKX458868 TUT458768:TUT458868 UEP458768:UEP458868 UOL458768:UOL458868 UYH458768:UYH458868 VID458768:VID458868 VRZ458768:VRZ458868 WBV458768:WBV458868 WLR458768:WLR458868 WVN458768:WVN458868 F524304:F524404 JB524304:JB524404 SX524304:SX524404 ACT524304:ACT524404 AMP524304:AMP524404 AWL524304:AWL524404 BGH524304:BGH524404 BQD524304:BQD524404 BZZ524304:BZZ524404 CJV524304:CJV524404 CTR524304:CTR524404 DDN524304:DDN524404 DNJ524304:DNJ524404 DXF524304:DXF524404 EHB524304:EHB524404 EQX524304:EQX524404 FAT524304:FAT524404 FKP524304:FKP524404 FUL524304:FUL524404 GEH524304:GEH524404 GOD524304:GOD524404 GXZ524304:GXZ524404 HHV524304:HHV524404 HRR524304:HRR524404 IBN524304:IBN524404 ILJ524304:ILJ524404 IVF524304:IVF524404 JFB524304:JFB524404 JOX524304:JOX524404 JYT524304:JYT524404 KIP524304:KIP524404 KSL524304:KSL524404 LCH524304:LCH524404 LMD524304:LMD524404 LVZ524304:LVZ524404 MFV524304:MFV524404 MPR524304:MPR524404 MZN524304:MZN524404 NJJ524304:NJJ524404 NTF524304:NTF524404 ODB524304:ODB524404 OMX524304:OMX524404 OWT524304:OWT524404 PGP524304:PGP524404 PQL524304:PQL524404 QAH524304:QAH524404 QKD524304:QKD524404 QTZ524304:QTZ524404 RDV524304:RDV524404 RNR524304:RNR524404 RXN524304:RXN524404 SHJ524304:SHJ524404 SRF524304:SRF524404 TBB524304:TBB524404 TKX524304:TKX524404 TUT524304:TUT524404 UEP524304:UEP524404 UOL524304:UOL524404 UYH524304:UYH524404 VID524304:VID524404 VRZ524304:VRZ524404 WBV524304:WBV524404 WLR524304:WLR524404 WVN524304:WVN524404 F589840:F589940 JB589840:JB589940 SX589840:SX589940 ACT589840:ACT589940 AMP589840:AMP589940 AWL589840:AWL589940 BGH589840:BGH589940 BQD589840:BQD589940 BZZ589840:BZZ589940 CJV589840:CJV589940 CTR589840:CTR589940 DDN589840:DDN589940 DNJ589840:DNJ589940 DXF589840:DXF589940 EHB589840:EHB589940 EQX589840:EQX589940 FAT589840:FAT589940 FKP589840:FKP589940 FUL589840:FUL589940 GEH589840:GEH589940 GOD589840:GOD589940 GXZ589840:GXZ589940 HHV589840:HHV589940 HRR589840:HRR589940 IBN589840:IBN589940 ILJ589840:ILJ589940 IVF589840:IVF589940 JFB589840:JFB589940 JOX589840:JOX589940 JYT589840:JYT589940 KIP589840:KIP589940 KSL589840:KSL589940 LCH589840:LCH589940 LMD589840:LMD589940 LVZ589840:LVZ589940 MFV589840:MFV589940 MPR589840:MPR589940 MZN589840:MZN589940 NJJ589840:NJJ589940 NTF589840:NTF589940 ODB589840:ODB589940 OMX589840:OMX589940 OWT589840:OWT589940 PGP589840:PGP589940 PQL589840:PQL589940 QAH589840:QAH589940 QKD589840:QKD589940 QTZ589840:QTZ589940 RDV589840:RDV589940 RNR589840:RNR589940 RXN589840:RXN589940 SHJ589840:SHJ589940 SRF589840:SRF589940 TBB589840:TBB589940 TKX589840:TKX589940 TUT589840:TUT589940 UEP589840:UEP589940 UOL589840:UOL589940 UYH589840:UYH589940 VID589840:VID589940 VRZ589840:VRZ589940 WBV589840:WBV589940 WLR589840:WLR589940 WVN589840:WVN589940 F655376:F655476 JB655376:JB655476 SX655376:SX655476 ACT655376:ACT655476 AMP655376:AMP655476 AWL655376:AWL655476 BGH655376:BGH655476 BQD655376:BQD655476 BZZ655376:BZZ655476 CJV655376:CJV655476 CTR655376:CTR655476 DDN655376:DDN655476 DNJ655376:DNJ655476 DXF655376:DXF655476 EHB655376:EHB655476 EQX655376:EQX655476 FAT655376:FAT655476 FKP655376:FKP655476 FUL655376:FUL655476 GEH655376:GEH655476 GOD655376:GOD655476 GXZ655376:GXZ655476 HHV655376:HHV655476 HRR655376:HRR655476 IBN655376:IBN655476 ILJ655376:ILJ655476 IVF655376:IVF655476 JFB655376:JFB655476 JOX655376:JOX655476 JYT655376:JYT655476 KIP655376:KIP655476 KSL655376:KSL655476 LCH655376:LCH655476 LMD655376:LMD655476 LVZ655376:LVZ655476 MFV655376:MFV655476 MPR655376:MPR655476 MZN655376:MZN655476 NJJ655376:NJJ655476 NTF655376:NTF655476 ODB655376:ODB655476 OMX655376:OMX655476 OWT655376:OWT655476 PGP655376:PGP655476 PQL655376:PQL655476 QAH655376:QAH655476 QKD655376:QKD655476 QTZ655376:QTZ655476 RDV655376:RDV655476 RNR655376:RNR655476 RXN655376:RXN655476 SHJ655376:SHJ655476 SRF655376:SRF655476 TBB655376:TBB655476 TKX655376:TKX655476 TUT655376:TUT655476 UEP655376:UEP655476 UOL655376:UOL655476 UYH655376:UYH655476 VID655376:VID655476 VRZ655376:VRZ655476 WBV655376:WBV655476 WLR655376:WLR655476 WVN655376:WVN655476 F720912:F721012 JB720912:JB721012 SX720912:SX721012 ACT720912:ACT721012 AMP720912:AMP721012 AWL720912:AWL721012 BGH720912:BGH721012 BQD720912:BQD721012 BZZ720912:BZZ721012 CJV720912:CJV721012 CTR720912:CTR721012 DDN720912:DDN721012 DNJ720912:DNJ721012 DXF720912:DXF721012 EHB720912:EHB721012 EQX720912:EQX721012 FAT720912:FAT721012 FKP720912:FKP721012 FUL720912:FUL721012 GEH720912:GEH721012 GOD720912:GOD721012 GXZ720912:GXZ721012 HHV720912:HHV721012 HRR720912:HRR721012 IBN720912:IBN721012 ILJ720912:ILJ721012 IVF720912:IVF721012 JFB720912:JFB721012 JOX720912:JOX721012 JYT720912:JYT721012 KIP720912:KIP721012 KSL720912:KSL721012 LCH720912:LCH721012 LMD720912:LMD721012 LVZ720912:LVZ721012 MFV720912:MFV721012 MPR720912:MPR721012 MZN720912:MZN721012 NJJ720912:NJJ721012 NTF720912:NTF721012 ODB720912:ODB721012 OMX720912:OMX721012 OWT720912:OWT721012 PGP720912:PGP721012 PQL720912:PQL721012 QAH720912:QAH721012 QKD720912:QKD721012 QTZ720912:QTZ721012 RDV720912:RDV721012 RNR720912:RNR721012 RXN720912:RXN721012 SHJ720912:SHJ721012 SRF720912:SRF721012 TBB720912:TBB721012 TKX720912:TKX721012 TUT720912:TUT721012 UEP720912:UEP721012 UOL720912:UOL721012 UYH720912:UYH721012 VID720912:VID721012 VRZ720912:VRZ721012 WBV720912:WBV721012 WLR720912:WLR721012 WVN720912:WVN721012 F786448:F786548 JB786448:JB786548 SX786448:SX786548 ACT786448:ACT786548 AMP786448:AMP786548 AWL786448:AWL786548 BGH786448:BGH786548 BQD786448:BQD786548 BZZ786448:BZZ786548 CJV786448:CJV786548 CTR786448:CTR786548 DDN786448:DDN786548 DNJ786448:DNJ786548 DXF786448:DXF786548 EHB786448:EHB786548 EQX786448:EQX786548 FAT786448:FAT786548 FKP786448:FKP786548 FUL786448:FUL786548 GEH786448:GEH786548 GOD786448:GOD786548 GXZ786448:GXZ786548 HHV786448:HHV786548 HRR786448:HRR786548 IBN786448:IBN786548 ILJ786448:ILJ786548 IVF786448:IVF786548 JFB786448:JFB786548 JOX786448:JOX786548 JYT786448:JYT786548 KIP786448:KIP786548 KSL786448:KSL786548 LCH786448:LCH786548 LMD786448:LMD786548 LVZ786448:LVZ786548 MFV786448:MFV786548 MPR786448:MPR786548 MZN786448:MZN786548 NJJ786448:NJJ786548 NTF786448:NTF786548 ODB786448:ODB786548 OMX786448:OMX786548 OWT786448:OWT786548 PGP786448:PGP786548 PQL786448:PQL786548 QAH786448:QAH786548 QKD786448:QKD786548 QTZ786448:QTZ786548 RDV786448:RDV786548 RNR786448:RNR786548 RXN786448:RXN786548 SHJ786448:SHJ786548 SRF786448:SRF786548 TBB786448:TBB786548 TKX786448:TKX786548 TUT786448:TUT786548 UEP786448:UEP786548 UOL786448:UOL786548 UYH786448:UYH786548 VID786448:VID786548 VRZ786448:VRZ786548 WBV786448:WBV786548 WLR786448:WLR786548 WVN786448:WVN786548 F851984:F852084 JB851984:JB852084 SX851984:SX852084 ACT851984:ACT852084 AMP851984:AMP852084 AWL851984:AWL852084 BGH851984:BGH852084 BQD851984:BQD852084 BZZ851984:BZZ852084 CJV851984:CJV852084 CTR851984:CTR852084 DDN851984:DDN852084 DNJ851984:DNJ852084 DXF851984:DXF852084 EHB851984:EHB852084 EQX851984:EQX852084 FAT851984:FAT852084 FKP851984:FKP852084 FUL851984:FUL852084 GEH851984:GEH852084 GOD851984:GOD852084 GXZ851984:GXZ852084 HHV851984:HHV852084 HRR851984:HRR852084 IBN851984:IBN852084 ILJ851984:ILJ852084 IVF851984:IVF852084 JFB851984:JFB852084 JOX851984:JOX852084 JYT851984:JYT852084 KIP851984:KIP852084 KSL851984:KSL852084 LCH851984:LCH852084 LMD851984:LMD852084 LVZ851984:LVZ852084 MFV851984:MFV852084 MPR851984:MPR852084 MZN851984:MZN852084 NJJ851984:NJJ852084 NTF851984:NTF852084 ODB851984:ODB852084 OMX851984:OMX852084 OWT851984:OWT852084 PGP851984:PGP852084 PQL851984:PQL852084 QAH851984:QAH852084 QKD851984:QKD852084 QTZ851984:QTZ852084 RDV851984:RDV852084 RNR851984:RNR852084 RXN851984:RXN852084 SHJ851984:SHJ852084 SRF851984:SRF852084 TBB851984:TBB852084 TKX851984:TKX852084 TUT851984:TUT852084 UEP851984:UEP852084 UOL851984:UOL852084 UYH851984:UYH852084 VID851984:VID852084 VRZ851984:VRZ852084 WBV851984:WBV852084 WLR851984:WLR852084 WVN851984:WVN852084 F917520:F917620 JB917520:JB917620 SX917520:SX917620 ACT917520:ACT917620 AMP917520:AMP917620 AWL917520:AWL917620 BGH917520:BGH917620 BQD917520:BQD917620 BZZ917520:BZZ917620 CJV917520:CJV917620 CTR917520:CTR917620 DDN917520:DDN917620 DNJ917520:DNJ917620 DXF917520:DXF917620 EHB917520:EHB917620 EQX917520:EQX917620 FAT917520:FAT917620 FKP917520:FKP917620 FUL917520:FUL917620 GEH917520:GEH917620 GOD917520:GOD917620 GXZ917520:GXZ917620 HHV917520:HHV917620 HRR917520:HRR917620 IBN917520:IBN917620 ILJ917520:ILJ917620 IVF917520:IVF917620 JFB917520:JFB917620 JOX917520:JOX917620 JYT917520:JYT917620 KIP917520:KIP917620 KSL917520:KSL917620 LCH917520:LCH917620 LMD917520:LMD917620 LVZ917520:LVZ917620 MFV917520:MFV917620 MPR917520:MPR917620 MZN917520:MZN917620 NJJ917520:NJJ917620 NTF917520:NTF917620 ODB917520:ODB917620 OMX917520:OMX917620 OWT917520:OWT917620 PGP917520:PGP917620 PQL917520:PQL917620 QAH917520:QAH917620 QKD917520:QKD917620 QTZ917520:QTZ917620 RDV917520:RDV917620 RNR917520:RNR917620 RXN917520:RXN917620 SHJ917520:SHJ917620 SRF917520:SRF917620 TBB917520:TBB917620 TKX917520:TKX917620 TUT917520:TUT917620 UEP917520:UEP917620 UOL917520:UOL917620 UYH917520:UYH917620 VID917520:VID917620 VRZ917520:VRZ917620 WBV917520:WBV917620 WLR917520:WLR917620 WVN917520:WVN917620 F983056:F983156 JB983056:JB983156 SX983056:SX983156 ACT983056:ACT983156 AMP983056:AMP983156 AWL983056:AWL983156 BGH983056:BGH983156 BQD983056:BQD983156 BZZ983056:BZZ983156 CJV983056:CJV983156 CTR983056:CTR983156 DDN983056:DDN983156 DNJ983056:DNJ983156 DXF983056:DXF983156 EHB983056:EHB983156 EQX983056:EQX983156 FAT983056:FAT983156 FKP983056:FKP983156 FUL983056:FUL983156 GEH983056:GEH983156 GOD983056:GOD983156 GXZ983056:GXZ983156 HHV983056:HHV983156 HRR983056:HRR983156 IBN983056:IBN983156 ILJ983056:ILJ983156 IVF983056:IVF983156 JFB983056:JFB983156 JOX983056:JOX983156 JYT983056:JYT983156 KIP983056:KIP983156 KSL983056:KSL983156 LCH983056:LCH983156 LMD983056:LMD983156 LVZ983056:LVZ983156 MFV983056:MFV983156 MPR983056:MPR983156 MZN983056:MZN983156 NJJ983056:NJJ983156 NTF983056:NTF983156 ODB983056:ODB983156 OMX983056:OMX983156 OWT983056:OWT983156 PGP983056:PGP983156 PQL983056:PQL983156 QAH983056:QAH983156 QKD983056:QKD983156 QTZ983056:QTZ983156 RDV983056:RDV983156 RNR983056:RNR983156 RXN983056:RXN983156 SHJ983056:SHJ983156 SRF983056:SRF983156 TBB983056:TBB983156 TKX983056:TKX983156 TUT983056:TUT983156 UEP983056:UEP983156 UOL983056:UOL983156 UYH983056:UYH983156 VID983056:VID983156 VRZ983056:VRZ983156 WBV983056:WBV983156 WVN12:WVN65 WLR12:WLR65 WBV12:WBV65 VRZ12:VRZ65 VID12:VID65 UYH12:UYH65 UOL12:UOL65 UEP12:UEP65 TUT12:TUT65 TKX12:TKX65 TBB12:TBB65 SRF12:SRF65 SHJ12:SHJ65 RXN12:RXN65 RNR12:RNR65 RDV12:RDV65 QTZ12:QTZ65 QKD12:QKD65 QAH12:QAH65 PQL12:PQL65 PGP12:PGP65 OWT12:OWT65 OMX12:OMX65 ODB12:ODB65 NTF12:NTF65 NJJ12:NJJ65 MZN12:MZN65 MPR12:MPR65 MFV12:MFV65 LVZ12:LVZ65 LMD12:LMD65 LCH12:LCH65 KSL12:KSL65 KIP12:KIP65 JYT12:JYT65 JOX12:JOX65 JFB12:JFB65 IVF12:IVF65 ILJ12:ILJ65 IBN12:IBN65 HRR12:HRR65 HHV12:HHV65 GXZ12:GXZ65 GOD12:GOD65 GEH12:GEH65 FUL12:FUL65 FKP12:FKP65 FAT12:FAT65 EQX12:EQX65 EHB12:EHB65 DXF12:DXF65 DNJ12:DNJ65 DDN12:DDN65 CTR12:CTR65 CJV12:CJV65 BZZ12:BZZ65 BQD12:BQD65 BGH12:BGH65 AWL12:AWL65 AMP12:AMP65 ACT12:ACT65 SX12:SX65 JB12:JB65 JB67:JB116" xr:uid="{155A443D-BCBB-48F2-844C-A1243E1C977D}">
      <formula1>$F$10</formula1>
    </dataValidation>
    <dataValidation type="whole" operator="lessThanOrEqual" allowBlank="1" showInputMessage="1" showErrorMessage="1" error="INPUT NUMBER LESS THAN OR EQUAL THE HIGHEST POSSIBLE SCORE" prompt="Input Raw Score" sqref="WWJ983056:WWJ983156 TT67:TT116 ADP67:ADP116 ANL67:ANL116 AXH67:AXH116 BHD67:BHD116 BQZ67:BQZ116 CAV67:CAV116 CKR67:CKR116 CUN67:CUN116 DEJ67:DEJ116 DOF67:DOF116 DYB67:DYB116 EHX67:EHX116 ERT67:ERT116 FBP67:FBP116 FLL67:FLL116 FVH67:FVH116 GFD67:GFD116 GOZ67:GOZ116 GYV67:GYV116 HIR67:HIR116 HSN67:HSN116 ICJ67:ICJ116 IMF67:IMF116 IWB67:IWB116 JFX67:JFX116 JPT67:JPT116 JZP67:JZP116 KJL67:KJL116 KTH67:KTH116 LDD67:LDD116 LMZ67:LMZ116 LWV67:LWV116 MGR67:MGR116 MQN67:MQN116 NAJ67:NAJ116 NKF67:NKF116 NUB67:NUB116 ODX67:ODX116 ONT67:ONT116 OXP67:OXP116 PHL67:PHL116 PRH67:PRH116 QBD67:QBD116 QKZ67:QKZ116 QUV67:QUV116 RER67:RER116 RON67:RON116 RYJ67:RYJ116 SIF67:SIF116 SSB67:SSB116 TBX67:TBX116 TLT67:TLT116 TVP67:TVP116 UFL67:UFL116 UPH67:UPH116 UZD67:UZD116 VIZ67:VIZ116 VSV67:VSV116 WCR67:WCR116 WMN67:WMN116 WWJ67:WWJ116 WMN983056:WMN983156 AB65552:AB65652 JX65552:JX65652 TT65552:TT65652 ADP65552:ADP65652 ANL65552:ANL65652 AXH65552:AXH65652 BHD65552:BHD65652 BQZ65552:BQZ65652 CAV65552:CAV65652 CKR65552:CKR65652 CUN65552:CUN65652 DEJ65552:DEJ65652 DOF65552:DOF65652 DYB65552:DYB65652 EHX65552:EHX65652 ERT65552:ERT65652 FBP65552:FBP65652 FLL65552:FLL65652 FVH65552:FVH65652 GFD65552:GFD65652 GOZ65552:GOZ65652 GYV65552:GYV65652 HIR65552:HIR65652 HSN65552:HSN65652 ICJ65552:ICJ65652 IMF65552:IMF65652 IWB65552:IWB65652 JFX65552:JFX65652 JPT65552:JPT65652 JZP65552:JZP65652 KJL65552:KJL65652 KTH65552:KTH65652 LDD65552:LDD65652 LMZ65552:LMZ65652 LWV65552:LWV65652 MGR65552:MGR65652 MQN65552:MQN65652 NAJ65552:NAJ65652 NKF65552:NKF65652 NUB65552:NUB65652 ODX65552:ODX65652 ONT65552:ONT65652 OXP65552:OXP65652 PHL65552:PHL65652 PRH65552:PRH65652 QBD65552:QBD65652 QKZ65552:QKZ65652 QUV65552:QUV65652 RER65552:RER65652 RON65552:RON65652 RYJ65552:RYJ65652 SIF65552:SIF65652 SSB65552:SSB65652 TBX65552:TBX65652 TLT65552:TLT65652 TVP65552:TVP65652 UFL65552:UFL65652 UPH65552:UPH65652 UZD65552:UZD65652 VIZ65552:VIZ65652 VSV65552:VSV65652 WCR65552:WCR65652 WMN65552:WMN65652 WWJ65552:WWJ65652 AB131088:AB131188 JX131088:JX131188 TT131088:TT131188 ADP131088:ADP131188 ANL131088:ANL131188 AXH131088:AXH131188 BHD131088:BHD131188 BQZ131088:BQZ131188 CAV131088:CAV131188 CKR131088:CKR131188 CUN131088:CUN131188 DEJ131088:DEJ131188 DOF131088:DOF131188 DYB131088:DYB131188 EHX131088:EHX131188 ERT131088:ERT131188 FBP131088:FBP131188 FLL131088:FLL131188 FVH131088:FVH131188 GFD131088:GFD131188 GOZ131088:GOZ131188 GYV131088:GYV131188 HIR131088:HIR131188 HSN131088:HSN131188 ICJ131088:ICJ131188 IMF131088:IMF131188 IWB131088:IWB131188 JFX131088:JFX131188 JPT131088:JPT131188 JZP131088:JZP131188 KJL131088:KJL131188 KTH131088:KTH131188 LDD131088:LDD131188 LMZ131088:LMZ131188 LWV131088:LWV131188 MGR131088:MGR131188 MQN131088:MQN131188 NAJ131088:NAJ131188 NKF131088:NKF131188 NUB131088:NUB131188 ODX131088:ODX131188 ONT131088:ONT131188 OXP131088:OXP131188 PHL131088:PHL131188 PRH131088:PRH131188 QBD131088:QBD131188 QKZ131088:QKZ131188 QUV131088:QUV131188 RER131088:RER131188 RON131088:RON131188 RYJ131088:RYJ131188 SIF131088:SIF131188 SSB131088:SSB131188 TBX131088:TBX131188 TLT131088:TLT131188 TVP131088:TVP131188 UFL131088:UFL131188 UPH131088:UPH131188 UZD131088:UZD131188 VIZ131088:VIZ131188 VSV131088:VSV131188 WCR131088:WCR131188 WMN131088:WMN131188 WWJ131088:WWJ131188 AB196624:AB196724 JX196624:JX196724 TT196624:TT196724 ADP196624:ADP196724 ANL196624:ANL196724 AXH196624:AXH196724 BHD196624:BHD196724 BQZ196624:BQZ196724 CAV196624:CAV196724 CKR196624:CKR196724 CUN196624:CUN196724 DEJ196624:DEJ196724 DOF196624:DOF196724 DYB196624:DYB196724 EHX196624:EHX196724 ERT196624:ERT196724 FBP196624:FBP196724 FLL196624:FLL196724 FVH196624:FVH196724 GFD196624:GFD196724 GOZ196624:GOZ196724 GYV196624:GYV196724 HIR196624:HIR196724 HSN196624:HSN196724 ICJ196624:ICJ196724 IMF196624:IMF196724 IWB196624:IWB196724 JFX196624:JFX196724 JPT196624:JPT196724 JZP196624:JZP196724 KJL196624:KJL196724 KTH196624:KTH196724 LDD196624:LDD196724 LMZ196624:LMZ196724 LWV196624:LWV196724 MGR196624:MGR196724 MQN196624:MQN196724 NAJ196624:NAJ196724 NKF196624:NKF196724 NUB196624:NUB196724 ODX196624:ODX196724 ONT196624:ONT196724 OXP196624:OXP196724 PHL196624:PHL196724 PRH196624:PRH196724 QBD196624:QBD196724 QKZ196624:QKZ196724 QUV196624:QUV196724 RER196624:RER196724 RON196624:RON196724 RYJ196624:RYJ196724 SIF196624:SIF196724 SSB196624:SSB196724 TBX196624:TBX196724 TLT196624:TLT196724 TVP196624:TVP196724 UFL196624:UFL196724 UPH196624:UPH196724 UZD196624:UZD196724 VIZ196624:VIZ196724 VSV196624:VSV196724 WCR196624:WCR196724 WMN196624:WMN196724 WWJ196624:WWJ196724 AB262160:AB262260 JX262160:JX262260 TT262160:TT262260 ADP262160:ADP262260 ANL262160:ANL262260 AXH262160:AXH262260 BHD262160:BHD262260 BQZ262160:BQZ262260 CAV262160:CAV262260 CKR262160:CKR262260 CUN262160:CUN262260 DEJ262160:DEJ262260 DOF262160:DOF262260 DYB262160:DYB262260 EHX262160:EHX262260 ERT262160:ERT262260 FBP262160:FBP262260 FLL262160:FLL262260 FVH262160:FVH262260 GFD262160:GFD262260 GOZ262160:GOZ262260 GYV262160:GYV262260 HIR262160:HIR262260 HSN262160:HSN262260 ICJ262160:ICJ262260 IMF262160:IMF262260 IWB262160:IWB262260 JFX262160:JFX262260 JPT262160:JPT262260 JZP262160:JZP262260 KJL262160:KJL262260 KTH262160:KTH262260 LDD262160:LDD262260 LMZ262160:LMZ262260 LWV262160:LWV262260 MGR262160:MGR262260 MQN262160:MQN262260 NAJ262160:NAJ262260 NKF262160:NKF262260 NUB262160:NUB262260 ODX262160:ODX262260 ONT262160:ONT262260 OXP262160:OXP262260 PHL262160:PHL262260 PRH262160:PRH262260 QBD262160:QBD262260 QKZ262160:QKZ262260 QUV262160:QUV262260 RER262160:RER262260 RON262160:RON262260 RYJ262160:RYJ262260 SIF262160:SIF262260 SSB262160:SSB262260 TBX262160:TBX262260 TLT262160:TLT262260 TVP262160:TVP262260 UFL262160:UFL262260 UPH262160:UPH262260 UZD262160:UZD262260 VIZ262160:VIZ262260 VSV262160:VSV262260 WCR262160:WCR262260 WMN262160:WMN262260 WWJ262160:WWJ262260 AB327696:AB327796 JX327696:JX327796 TT327696:TT327796 ADP327696:ADP327796 ANL327696:ANL327796 AXH327696:AXH327796 BHD327696:BHD327796 BQZ327696:BQZ327796 CAV327696:CAV327796 CKR327696:CKR327796 CUN327696:CUN327796 DEJ327696:DEJ327796 DOF327696:DOF327796 DYB327696:DYB327796 EHX327696:EHX327796 ERT327696:ERT327796 FBP327696:FBP327796 FLL327696:FLL327796 FVH327696:FVH327796 GFD327696:GFD327796 GOZ327696:GOZ327796 GYV327696:GYV327796 HIR327696:HIR327796 HSN327696:HSN327796 ICJ327696:ICJ327796 IMF327696:IMF327796 IWB327696:IWB327796 JFX327696:JFX327796 JPT327696:JPT327796 JZP327696:JZP327796 KJL327696:KJL327796 KTH327696:KTH327796 LDD327696:LDD327796 LMZ327696:LMZ327796 LWV327696:LWV327796 MGR327696:MGR327796 MQN327696:MQN327796 NAJ327696:NAJ327796 NKF327696:NKF327796 NUB327696:NUB327796 ODX327696:ODX327796 ONT327696:ONT327796 OXP327696:OXP327796 PHL327696:PHL327796 PRH327696:PRH327796 QBD327696:QBD327796 QKZ327696:QKZ327796 QUV327696:QUV327796 RER327696:RER327796 RON327696:RON327796 RYJ327696:RYJ327796 SIF327696:SIF327796 SSB327696:SSB327796 TBX327696:TBX327796 TLT327696:TLT327796 TVP327696:TVP327796 UFL327696:UFL327796 UPH327696:UPH327796 UZD327696:UZD327796 VIZ327696:VIZ327796 VSV327696:VSV327796 WCR327696:WCR327796 WMN327696:WMN327796 WWJ327696:WWJ327796 AB393232:AB393332 JX393232:JX393332 TT393232:TT393332 ADP393232:ADP393332 ANL393232:ANL393332 AXH393232:AXH393332 BHD393232:BHD393332 BQZ393232:BQZ393332 CAV393232:CAV393332 CKR393232:CKR393332 CUN393232:CUN393332 DEJ393232:DEJ393332 DOF393232:DOF393332 DYB393232:DYB393332 EHX393232:EHX393332 ERT393232:ERT393332 FBP393232:FBP393332 FLL393232:FLL393332 FVH393232:FVH393332 GFD393232:GFD393332 GOZ393232:GOZ393332 GYV393232:GYV393332 HIR393232:HIR393332 HSN393232:HSN393332 ICJ393232:ICJ393332 IMF393232:IMF393332 IWB393232:IWB393332 JFX393232:JFX393332 JPT393232:JPT393332 JZP393232:JZP393332 KJL393232:KJL393332 KTH393232:KTH393332 LDD393232:LDD393332 LMZ393232:LMZ393332 LWV393232:LWV393332 MGR393232:MGR393332 MQN393232:MQN393332 NAJ393232:NAJ393332 NKF393232:NKF393332 NUB393232:NUB393332 ODX393232:ODX393332 ONT393232:ONT393332 OXP393232:OXP393332 PHL393232:PHL393332 PRH393232:PRH393332 QBD393232:QBD393332 QKZ393232:QKZ393332 QUV393232:QUV393332 RER393232:RER393332 RON393232:RON393332 RYJ393232:RYJ393332 SIF393232:SIF393332 SSB393232:SSB393332 TBX393232:TBX393332 TLT393232:TLT393332 TVP393232:TVP393332 UFL393232:UFL393332 UPH393232:UPH393332 UZD393232:UZD393332 VIZ393232:VIZ393332 VSV393232:VSV393332 WCR393232:WCR393332 WMN393232:WMN393332 WWJ393232:WWJ393332 AB458768:AB458868 JX458768:JX458868 TT458768:TT458868 ADP458768:ADP458868 ANL458768:ANL458868 AXH458768:AXH458868 BHD458768:BHD458868 BQZ458768:BQZ458868 CAV458768:CAV458868 CKR458768:CKR458868 CUN458768:CUN458868 DEJ458768:DEJ458868 DOF458768:DOF458868 DYB458768:DYB458868 EHX458768:EHX458868 ERT458768:ERT458868 FBP458768:FBP458868 FLL458768:FLL458868 FVH458768:FVH458868 GFD458768:GFD458868 GOZ458768:GOZ458868 GYV458768:GYV458868 HIR458768:HIR458868 HSN458768:HSN458868 ICJ458768:ICJ458868 IMF458768:IMF458868 IWB458768:IWB458868 JFX458768:JFX458868 JPT458768:JPT458868 JZP458768:JZP458868 KJL458768:KJL458868 KTH458768:KTH458868 LDD458768:LDD458868 LMZ458768:LMZ458868 LWV458768:LWV458868 MGR458768:MGR458868 MQN458768:MQN458868 NAJ458768:NAJ458868 NKF458768:NKF458868 NUB458768:NUB458868 ODX458768:ODX458868 ONT458768:ONT458868 OXP458768:OXP458868 PHL458768:PHL458868 PRH458768:PRH458868 QBD458768:QBD458868 QKZ458768:QKZ458868 QUV458768:QUV458868 RER458768:RER458868 RON458768:RON458868 RYJ458768:RYJ458868 SIF458768:SIF458868 SSB458768:SSB458868 TBX458768:TBX458868 TLT458768:TLT458868 TVP458768:TVP458868 UFL458768:UFL458868 UPH458768:UPH458868 UZD458768:UZD458868 VIZ458768:VIZ458868 VSV458768:VSV458868 WCR458768:WCR458868 WMN458768:WMN458868 WWJ458768:WWJ458868 AB524304:AB524404 JX524304:JX524404 TT524304:TT524404 ADP524304:ADP524404 ANL524304:ANL524404 AXH524304:AXH524404 BHD524304:BHD524404 BQZ524304:BQZ524404 CAV524304:CAV524404 CKR524304:CKR524404 CUN524304:CUN524404 DEJ524304:DEJ524404 DOF524304:DOF524404 DYB524304:DYB524404 EHX524304:EHX524404 ERT524304:ERT524404 FBP524304:FBP524404 FLL524304:FLL524404 FVH524304:FVH524404 GFD524304:GFD524404 GOZ524304:GOZ524404 GYV524304:GYV524404 HIR524304:HIR524404 HSN524304:HSN524404 ICJ524304:ICJ524404 IMF524304:IMF524404 IWB524304:IWB524404 JFX524304:JFX524404 JPT524304:JPT524404 JZP524304:JZP524404 KJL524304:KJL524404 KTH524304:KTH524404 LDD524304:LDD524404 LMZ524304:LMZ524404 LWV524304:LWV524404 MGR524304:MGR524404 MQN524304:MQN524404 NAJ524304:NAJ524404 NKF524304:NKF524404 NUB524304:NUB524404 ODX524304:ODX524404 ONT524304:ONT524404 OXP524304:OXP524404 PHL524304:PHL524404 PRH524304:PRH524404 QBD524304:QBD524404 QKZ524304:QKZ524404 QUV524304:QUV524404 RER524304:RER524404 RON524304:RON524404 RYJ524304:RYJ524404 SIF524304:SIF524404 SSB524304:SSB524404 TBX524304:TBX524404 TLT524304:TLT524404 TVP524304:TVP524404 UFL524304:UFL524404 UPH524304:UPH524404 UZD524304:UZD524404 VIZ524304:VIZ524404 VSV524304:VSV524404 WCR524304:WCR524404 WMN524304:WMN524404 WWJ524304:WWJ524404 AB589840:AB589940 JX589840:JX589940 TT589840:TT589940 ADP589840:ADP589940 ANL589840:ANL589940 AXH589840:AXH589940 BHD589840:BHD589940 BQZ589840:BQZ589940 CAV589840:CAV589940 CKR589840:CKR589940 CUN589840:CUN589940 DEJ589840:DEJ589940 DOF589840:DOF589940 DYB589840:DYB589940 EHX589840:EHX589940 ERT589840:ERT589940 FBP589840:FBP589940 FLL589840:FLL589940 FVH589840:FVH589940 GFD589840:GFD589940 GOZ589840:GOZ589940 GYV589840:GYV589940 HIR589840:HIR589940 HSN589840:HSN589940 ICJ589840:ICJ589940 IMF589840:IMF589940 IWB589840:IWB589940 JFX589840:JFX589940 JPT589840:JPT589940 JZP589840:JZP589940 KJL589840:KJL589940 KTH589840:KTH589940 LDD589840:LDD589940 LMZ589840:LMZ589940 LWV589840:LWV589940 MGR589840:MGR589940 MQN589840:MQN589940 NAJ589840:NAJ589940 NKF589840:NKF589940 NUB589840:NUB589940 ODX589840:ODX589940 ONT589840:ONT589940 OXP589840:OXP589940 PHL589840:PHL589940 PRH589840:PRH589940 QBD589840:QBD589940 QKZ589840:QKZ589940 QUV589840:QUV589940 RER589840:RER589940 RON589840:RON589940 RYJ589840:RYJ589940 SIF589840:SIF589940 SSB589840:SSB589940 TBX589840:TBX589940 TLT589840:TLT589940 TVP589840:TVP589940 UFL589840:UFL589940 UPH589840:UPH589940 UZD589840:UZD589940 VIZ589840:VIZ589940 VSV589840:VSV589940 WCR589840:WCR589940 WMN589840:WMN589940 WWJ589840:WWJ589940 AB655376:AB655476 JX655376:JX655476 TT655376:TT655476 ADP655376:ADP655476 ANL655376:ANL655476 AXH655376:AXH655476 BHD655376:BHD655476 BQZ655376:BQZ655476 CAV655376:CAV655476 CKR655376:CKR655476 CUN655376:CUN655476 DEJ655376:DEJ655476 DOF655376:DOF655476 DYB655376:DYB655476 EHX655376:EHX655476 ERT655376:ERT655476 FBP655376:FBP655476 FLL655376:FLL655476 FVH655376:FVH655476 GFD655376:GFD655476 GOZ655376:GOZ655476 GYV655376:GYV655476 HIR655376:HIR655476 HSN655376:HSN655476 ICJ655376:ICJ655476 IMF655376:IMF655476 IWB655376:IWB655476 JFX655376:JFX655476 JPT655376:JPT655476 JZP655376:JZP655476 KJL655376:KJL655476 KTH655376:KTH655476 LDD655376:LDD655476 LMZ655376:LMZ655476 LWV655376:LWV655476 MGR655376:MGR655476 MQN655376:MQN655476 NAJ655376:NAJ655476 NKF655376:NKF655476 NUB655376:NUB655476 ODX655376:ODX655476 ONT655376:ONT655476 OXP655376:OXP655476 PHL655376:PHL655476 PRH655376:PRH655476 QBD655376:QBD655476 QKZ655376:QKZ655476 QUV655376:QUV655476 RER655376:RER655476 RON655376:RON655476 RYJ655376:RYJ655476 SIF655376:SIF655476 SSB655376:SSB655476 TBX655376:TBX655476 TLT655376:TLT655476 TVP655376:TVP655476 UFL655376:UFL655476 UPH655376:UPH655476 UZD655376:UZD655476 VIZ655376:VIZ655476 VSV655376:VSV655476 WCR655376:WCR655476 WMN655376:WMN655476 WWJ655376:WWJ655476 AB720912:AB721012 JX720912:JX721012 TT720912:TT721012 ADP720912:ADP721012 ANL720912:ANL721012 AXH720912:AXH721012 BHD720912:BHD721012 BQZ720912:BQZ721012 CAV720912:CAV721012 CKR720912:CKR721012 CUN720912:CUN721012 DEJ720912:DEJ721012 DOF720912:DOF721012 DYB720912:DYB721012 EHX720912:EHX721012 ERT720912:ERT721012 FBP720912:FBP721012 FLL720912:FLL721012 FVH720912:FVH721012 GFD720912:GFD721012 GOZ720912:GOZ721012 GYV720912:GYV721012 HIR720912:HIR721012 HSN720912:HSN721012 ICJ720912:ICJ721012 IMF720912:IMF721012 IWB720912:IWB721012 JFX720912:JFX721012 JPT720912:JPT721012 JZP720912:JZP721012 KJL720912:KJL721012 KTH720912:KTH721012 LDD720912:LDD721012 LMZ720912:LMZ721012 LWV720912:LWV721012 MGR720912:MGR721012 MQN720912:MQN721012 NAJ720912:NAJ721012 NKF720912:NKF721012 NUB720912:NUB721012 ODX720912:ODX721012 ONT720912:ONT721012 OXP720912:OXP721012 PHL720912:PHL721012 PRH720912:PRH721012 QBD720912:QBD721012 QKZ720912:QKZ721012 QUV720912:QUV721012 RER720912:RER721012 RON720912:RON721012 RYJ720912:RYJ721012 SIF720912:SIF721012 SSB720912:SSB721012 TBX720912:TBX721012 TLT720912:TLT721012 TVP720912:TVP721012 UFL720912:UFL721012 UPH720912:UPH721012 UZD720912:UZD721012 VIZ720912:VIZ721012 VSV720912:VSV721012 WCR720912:WCR721012 WMN720912:WMN721012 WWJ720912:WWJ721012 AB786448:AB786548 JX786448:JX786548 TT786448:TT786548 ADP786448:ADP786548 ANL786448:ANL786548 AXH786448:AXH786548 BHD786448:BHD786548 BQZ786448:BQZ786548 CAV786448:CAV786548 CKR786448:CKR786548 CUN786448:CUN786548 DEJ786448:DEJ786548 DOF786448:DOF786548 DYB786448:DYB786548 EHX786448:EHX786548 ERT786448:ERT786548 FBP786448:FBP786548 FLL786448:FLL786548 FVH786448:FVH786548 GFD786448:GFD786548 GOZ786448:GOZ786548 GYV786448:GYV786548 HIR786448:HIR786548 HSN786448:HSN786548 ICJ786448:ICJ786548 IMF786448:IMF786548 IWB786448:IWB786548 JFX786448:JFX786548 JPT786448:JPT786548 JZP786448:JZP786548 KJL786448:KJL786548 KTH786448:KTH786548 LDD786448:LDD786548 LMZ786448:LMZ786548 LWV786448:LWV786548 MGR786448:MGR786548 MQN786448:MQN786548 NAJ786448:NAJ786548 NKF786448:NKF786548 NUB786448:NUB786548 ODX786448:ODX786548 ONT786448:ONT786548 OXP786448:OXP786548 PHL786448:PHL786548 PRH786448:PRH786548 QBD786448:QBD786548 QKZ786448:QKZ786548 QUV786448:QUV786548 RER786448:RER786548 RON786448:RON786548 RYJ786448:RYJ786548 SIF786448:SIF786548 SSB786448:SSB786548 TBX786448:TBX786548 TLT786448:TLT786548 TVP786448:TVP786548 UFL786448:UFL786548 UPH786448:UPH786548 UZD786448:UZD786548 VIZ786448:VIZ786548 VSV786448:VSV786548 WCR786448:WCR786548 WMN786448:WMN786548 WWJ786448:WWJ786548 AB851984:AB852084 JX851984:JX852084 TT851984:TT852084 ADP851984:ADP852084 ANL851984:ANL852084 AXH851984:AXH852084 BHD851984:BHD852084 BQZ851984:BQZ852084 CAV851984:CAV852084 CKR851984:CKR852084 CUN851984:CUN852084 DEJ851984:DEJ852084 DOF851984:DOF852084 DYB851984:DYB852084 EHX851984:EHX852084 ERT851984:ERT852084 FBP851984:FBP852084 FLL851984:FLL852084 FVH851984:FVH852084 GFD851984:GFD852084 GOZ851984:GOZ852084 GYV851984:GYV852084 HIR851984:HIR852084 HSN851984:HSN852084 ICJ851984:ICJ852084 IMF851984:IMF852084 IWB851984:IWB852084 JFX851984:JFX852084 JPT851984:JPT852084 JZP851984:JZP852084 KJL851984:KJL852084 KTH851984:KTH852084 LDD851984:LDD852084 LMZ851984:LMZ852084 LWV851984:LWV852084 MGR851984:MGR852084 MQN851984:MQN852084 NAJ851984:NAJ852084 NKF851984:NKF852084 NUB851984:NUB852084 ODX851984:ODX852084 ONT851984:ONT852084 OXP851984:OXP852084 PHL851984:PHL852084 PRH851984:PRH852084 QBD851984:QBD852084 QKZ851984:QKZ852084 QUV851984:QUV852084 RER851984:RER852084 RON851984:RON852084 RYJ851984:RYJ852084 SIF851984:SIF852084 SSB851984:SSB852084 TBX851984:TBX852084 TLT851984:TLT852084 TVP851984:TVP852084 UFL851984:UFL852084 UPH851984:UPH852084 UZD851984:UZD852084 VIZ851984:VIZ852084 VSV851984:VSV852084 WCR851984:WCR852084 WMN851984:WMN852084 WWJ851984:WWJ852084 AB917520:AB917620 JX917520:JX917620 TT917520:TT917620 ADP917520:ADP917620 ANL917520:ANL917620 AXH917520:AXH917620 BHD917520:BHD917620 BQZ917520:BQZ917620 CAV917520:CAV917620 CKR917520:CKR917620 CUN917520:CUN917620 DEJ917520:DEJ917620 DOF917520:DOF917620 DYB917520:DYB917620 EHX917520:EHX917620 ERT917520:ERT917620 FBP917520:FBP917620 FLL917520:FLL917620 FVH917520:FVH917620 GFD917520:GFD917620 GOZ917520:GOZ917620 GYV917520:GYV917620 HIR917520:HIR917620 HSN917520:HSN917620 ICJ917520:ICJ917620 IMF917520:IMF917620 IWB917520:IWB917620 JFX917520:JFX917620 JPT917520:JPT917620 JZP917520:JZP917620 KJL917520:KJL917620 KTH917520:KTH917620 LDD917520:LDD917620 LMZ917520:LMZ917620 LWV917520:LWV917620 MGR917520:MGR917620 MQN917520:MQN917620 NAJ917520:NAJ917620 NKF917520:NKF917620 NUB917520:NUB917620 ODX917520:ODX917620 ONT917520:ONT917620 OXP917520:OXP917620 PHL917520:PHL917620 PRH917520:PRH917620 QBD917520:QBD917620 QKZ917520:QKZ917620 QUV917520:QUV917620 RER917520:RER917620 RON917520:RON917620 RYJ917520:RYJ917620 SIF917520:SIF917620 SSB917520:SSB917620 TBX917520:TBX917620 TLT917520:TLT917620 TVP917520:TVP917620 UFL917520:UFL917620 UPH917520:UPH917620 UZD917520:UZD917620 VIZ917520:VIZ917620 VSV917520:VSV917620 WCR917520:WCR917620 WMN917520:WMN917620 WWJ917520:WWJ917620 AB983056:AB983156 JX983056:JX983156 TT983056:TT983156 ADP983056:ADP983156 ANL983056:ANL983156 AXH983056:AXH983156 BHD983056:BHD983156 BQZ983056:BQZ983156 CAV983056:CAV983156 CKR983056:CKR983156 CUN983056:CUN983156 DEJ983056:DEJ983156 DOF983056:DOF983156 DYB983056:DYB983156 EHX983056:EHX983156 ERT983056:ERT983156 FBP983056:FBP983156 FLL983056:FLL983156 FVH983056:FVH983156 GFD983056:GFD983156 GOZ983056:GOZ983156 GYV983056:GYV983156 HIR983056:HIR983156 HSN983056:HSN983156 ICJ983056:ICJ983156 IMF983056:IMF983156 IWB983056:IWB983156 JFX983056:JFX983156 JPT983056:JPT983156 JZP983056:JZP983156 KJL983056:KJL983156 KTH983056:KTH983156 LDD983056:LDD983156 LMZ983056:LMZ983156 LWV983056:LWV983156 MGR983056:MGR983156 MQN983056:MQN983156 NAJ983056:NAJ983156 NKF983056:NKF983156 NUB983056:NUB983156 ODX983056:ODX983156 ONT983056:ONT983156 OXP983056:OXP983156 PHL983056:PHL983156 PRH983056:PRH983156 QBD983056:QBD983156 QKZ983056:QKZ983156 QUV983056:QUV983156 RER983056:RER983156 RON983056:RON983156 RYJ983056:RYJ983156 SIF983056:SIF983156 SSB983056:SSB983156 TBX983056:TBX983156 TLT983056:TLT983156 TVP983056:TVP983156 UFL983056:UFL983156 UPH983056:UPH983156 UZD983056:UZD983156 VIZ983056:VIZ983156 VSV983056:VSV983156 WCR983056:WCR983156 WWJ12:WWJ65 WMN12:WMN65 WCR12:WCR65 VSV12:VSV65 VIZ12:VIZ65 UZD12:UZD65 UPH12:UPH65 UFL12:UFL65 TVP12:TVP65 TLT12:TLT65 TBX12:TBX65 SSB12:SSB65 SIF12:SIF65 RYJ12:RYJ65 RON12:RON65 RER12:RER65 QUV12:QUV65 QKZ12:QKZ65 QBD12:QBD65 PRH12:PRH65 PHL12:PHL65 OXP12:OXP65 ONT12:ONT65 ODX12:ODX65 NUB12:NUB65 NKF12:NKF65 NAJ12:NAJ65 MQN12:MQN65 MGR12:MGR65 LWV12:LWV65 LMZ12:LMZ65 LDD12:LDD65 KTH12:KTH65 KJL12:KJL65 JZP12:JZP65 JPT12:JPT65 JFX12:JFX65 IWB12:IWB65 IMF12:IMF65 ICJ12:ICJ65 HSN12:HSN65 HIR12:HIR65 GYV12:GYV65 GOZ12:GOZ65 GFD12:GFD65 FVH12:FVH65 FLL12:FLL65 FBP12:FBP65 ERT12:ERT65 EHX12:EHX65 DYB12:DYB65 DOF12:DOF65 DEJ12:DEJ65 CUN12:CUN65 CKR12:CKR65 CAV12:CAV65 BQZ12:BQZ65 BHD12:BHD65 AXH12:AXH65 ANL12:ANL65 ADP12:ADP65 TT12:TT65 JX12:JX65 JX67:JX116" xr:uid="{C85F93F5-B5F2-4F5B-BCC2-C8F6860DBBFF}">
      <formula1>$AB$10</formula1>
    </dataValidation>
    <dataValidation allowBlank="1" showInputMessage="1" showErrorMessage="1" prompt="TYPE IN INPUT INFOS" sqref="WVJ983107:WVJ983156 IX12:IX65 ST12:ST65 ACP12:ACP65 AML12:AML65 AWH12:AWH65 BGD12:BGD65 BPZ12:BPZ65 BZV12:BZV65 CJR12:CJR65 CTN12:CTN65 DDJ12:DDJ65 DNF12:DNF65 DXB12:DXB65 EGX12:EGX65 EQT12:EQT65 FAP12:FAP65 FKL12:FKL65 FUH12:FUH65 GED12:GED65 GNZ12:GNZ65 GXV12:GXV65 HHR12:HHR65 HRN12:HRN65 IBJ12:IBJ65 ILF12:ILF65 IVB12:IVB65 JEX12:JEX65 JOT12:JOT65 JYP12:JYP65 KIL12:KIL65 KSH12:KSH65 LCD12:LCD65 LLZ12:LLZ65 LVV12:LVV65 MFR12:MFR65 MPN12:MPN65 MZJ12:MZJ65 NJF12:NJF65 NTB12:NTB65 OCX12:OCX65 OMT12:OMT65 OWP12:OWP65 PGL12:PGL65 PQH12:PQH65 QAD12:QAD65 QJZ12:QJZ65 QTV12:QTV65 RDR12:RDR65 RNN12:RNN65 RXJ12:RXJ65 SHF12:SHF65 SRB12:SRB65 TAX12:TAX65 TKT12:TKT65 TUP12:TUP65 UEL12:UEL65 UOH12:UOH65 UYD12:UYD65 VHZ12:VHZ65 VRV12:VRV65 WBR12:WBR65 WLN12:WLN65 WVJ12:WVJ65 B65552:B65601 IX65552:IX65601 ST65552:ST65601 ACP65552:ACP65601 AML65552:AML65601 AWH65552:AWH65601 BGD65552:BGD65601 BPZ65552:BPZ65601 BZV65552:BZV65601 CJR65552:CJR65601 CTN65552:CTN65601 DDJ65552:DDJ65601 DNF65552:DNF65601 DXB65552:DXB65601 EGX65552:EGX65601 EQT65552:EQT65601 FAP65552:FAP65601 FKL65552:FKL65601 FUH65552:FUH65601 GED65552:GED65601 GNZ65552:GNZ65601 GXV65552:GXV65601 HHR65552:HHR65601 HRN65552:HRN65601 IBJ65552:IBJ65601 ILF65552:ILF65601 IVB65552:IVB65601 JEX65552:JEX65601 JOT65552:JOT65601 JYP65552:JYP65601 KIL65552:KIL65601 KSH65552:KSH65601 LCD65552:LCD65601 LLZ65552:LLZ65601 LVV65552:LVV65601 MFR65552:MFR65601 MPN65552:MPN65601 MZJ65552:MZJ65601 NJF65552:NJF65601 NTB65552:NTB65601 OCX65552:OCX65601 OMT65552:OMT65601 OWP65552:OWP65601 PGL65552:PGL65601 PQH65552:PQH65601 QAD65552:QAD65601 QJZ65552:QJZ65601 QTV65552:QTV65601 RDR65552:RDR65601 RNN65552:RNN65601 RXJ65552:RXJ65601 SHF65552:SHF65601 SRB65552:SRB65601 TAX65552:TAX65601 TKT65552:TKT65601 TUP65552:TUP65601 UEL65552:UEL65601 UOH65552:UOH65601 UYD65552:UYD65601 VHZ65552:VHZ65601 VRV65552:VRV65601 WBR65552:WBR65601 WLN65552:WLN65601 WVJ65552:WVJ65601 B131088:B131137 IX131088:IX131137 ST131088:ST131137 ACP131088:ACP131137 AML131088:AML131137 AWH131088:AWH131137 BGD131088:BGD131137 BPZ131088:BPZ131137 BZV131088:BZV131137 CJR131088:CJR131137 CTN131088:CTN131137 DDJ131088:DDJ131137 DNF131088:DNF131137 DXB131088:DXB131137 EGX131088:EGX131137 EQT131088:EQT131137 FAP131088:FAP131137 FKL131088:FKL131137 FUH131088:FUH131137 GED131088:GED131137 GNZ131088:GNZ131137 GXV131088:GXV131137 HHR131088:HHR131137 HRN131088:HRN131137 IBJ131088:IBJ131137 ILF131088:ILF131137 IVB131088:IVB131137 JEX131088:JEX131137 JOT131088:JOT131137 JYP131088:JYP131137 KIL131088:KIL131137 KSH131088:KSH131137 LCD131088:LCD131137 LLZ131088:LLZ131137 LVV131088:LVV131137 MFR131088:MFR131137 MPN131088:MPN131137 MZJ131088:MZJ131137 NJF131088:NJF131137 NTB131088:NTB131137 OCX131088:OCX131137 OMT131088:OMT131137 OWP131088:OWP131137 PGL131088:PGL131137 PQH131088:PQH131137 QAD131088:QAD131137 QJZ131088:QJZ131137 QTV131088:QTV131137 RDR131088:RDR131137 RNN131088:RNN131137 RXJ131088:RXJ131137 SHF131088:SHF131137 SRB131088:SRB131137 TAX131088:TAX131137 TKT131088:TKT131137 TUP131088:TUP131137 UEL131088:UEL131137 UOH131088:UOH131137 UYD131088:UYD131137 VHZ131088:VHZ131137 VRV131088:VRV131137 WBR131088:WBR131137 WLN131088:WLN131137 WVJ131088:WVJ131137 B196624:B196673 IX196624:IX196673 ST196624:ST196673 ACP196624:ACP196673 AML196624:AML196673 AWH196624:AWH196673 BGD196624:BGD196673 BPZ196624:BPZ196673 BZV196624:BZV196673 CJR196624:CJR196673 CTN196624:CTN196673 DDJ196624:DDJ196673 DNF196624:DNF196673 DXB196624:DXB196673 EGX196624:EGX196673 EQT196624:EQT196673 FAP196624:FAP196673 FKL196624:FKL196673 FUH196624:FUH196673 GED196624:GED196673 GNZ196624:GNZ196673 GXV196624:GXV196673 HHR196624:HHR196673 HRN196624:HRN196673 IBJ196624:IBJ196673 ILF196624:ILF196673 IVB196624:IVB196673 JEX196624:JEX196673 JOT196624:JOT196673 JYP196624:JYP196673 KIL196624:KIL196673 KSH196624:KSH196673 LCD196624:LCD196673 LLZ196624:LLZ196673 LVV196624:LVV196673 MFR196624:MFR196673 MPN196624:MPN196673 MZJ196624:MZJ196673 NJF196624:NJF196673 NTB196624:NTB196673 OCX196624:OCX196673 OMT196624:OMT196673 OWP196624:OWP196673 PGL196624:PGL196673 PQH196624:PQH196673 QAD196624:QAD196673 QJZ196624:QJZ196673 QTV196624:QTV196673 RDR196624:RDR196673 RNN196624:RNN196673 RXJ196624:RXJ196673 SHF196624:SHF196673 SRB196624:SRB196673 TAX196624:TAX196673 TKT196624:TKT196673 TUP196624:TUP196673 UEL196624:UEL196673 UOH196624:UOH196673 UYD196624:UYD196673 VHZ196624:VHZ196673 VRV196624:VRV196673 WBR196624:WBR196673 WLN196624:WLN196673 WVJ196624:WVJ196673 B262160:B262209 IX262160:IX262209 ST262160:ST262209 ACP262160:ACP262209 AML262160:AML262209 AWH262160:AWH262209 BGD262160:BGD262209 BPZ262160:BPZ262209 BZV262160:BZV262209 CJR262160:CJR262209 CTN262160:CTN262209 DDJ262160:DDJ262209 DNF262160:DNF262209 DXB262160:DXB262209 EGX262160:EGX262209 EQT262160:EQT262209 FAP262160:FAP262209 FKL262160:FKL262209 FUH262160:FUH262209 GED262160:GED262209 GNZ262160:GNZ262209 GXV262160:GXV262209 HHR262160:HHR262209 HRN262160:HRN262209 IBJ262160:IBJ262209 ILF262160:ILF262209 IVB262160:IVB262209 JEX262160:JEX262209 JOT262160:JOT262209 JYP262160:JYP262209 KIL262160:KIL262209 KSH262160:KSH262209 LCD262160:LCD262209 LLZ262160:LLZ262209 LVV262160:LVV262209 MFR262160:MFR262209 MPN262160:MPN262209 MZJ262160:MZJ262209 NJF262160:NJF262209 NTB262160:NTB262209 OCX262160:OCX262209 OMT262160:OMT262209 OWP262160:OWP262209 PGL262160:PGL262209 PQH262160:PQH262209 QAD262160:QAD262209 QJZ262160:QJZ262209 QTV262160:QTV262209 RDR262160:RDR262209 RNN262160:RNN262209 RXJ262160:RXJ262209 SHF262160:SHF262209 SRB262160:SRB262209 TAX262160:TAX262209 TKT262160:TKT262209 TUP262160:TUP262209 UEL262160:UEL262209 UOH262160:UOH262209 UYD262160:UYD262209 VHZ262160:VHZ262209 VRV262160:VRV262209 WBR262160:WBR262209 WLN262160:WLN262209 WVJ262160:WVJ262209 B327696:B327745 IX327696:IX327745 ST327696:ST327745 ACP327696:ACP327745 AML327696:AML327745 AWH327696:AWH327745 BGD327696:BGD327745 BPZ327696:BPZ327745 BZV327696:BZV327745 CJR327696:CJR327745 CTN327696:CTN327745 DDJ327696:DDJ327745 DNF327696:DNF327745 DXB327696:DXB327745 EGX327696:EGX327745 EQT327696:EQT327745 FAP327696:FAP327745 FKL327696:FKL327745 FUH327696:FUH327745 GED327696:GED327745 GNZ327696:GNZ327745 GXV327696:GXV327745 HHR327696:HHR327745 HRN327696:HRN327745 IBJ327696:IBJ327745 ILF327696:ILF327745 IVB327696:IVB327745 JEX327696:JEX327745 JOT327696:JOT327745 JYP327696:JYP327745 KIL327696:KIL327745 KSH327696:KSH327745 LCD327696:LCD327745 LLZ327696:LLZ327745 LVV327696:LVV327745 MFR327696:MFR327745 MPN327696:MPN327745 MZJ327696:MZJ327745 NJF327696:NJF327745 NTB327696:NTB327745 OCX327696:OCX327745 OMT327696:OMT327745 OWP327696:OWP327745 PGL327696:PGL327745 PQH327696:PQH327745 QAD327696:QAD327745 QJZ327696:QJZ327745 QTV327696:QTV327745 RDR327696:RDR327745 RNN327696:RNN327745 RXJ327696:RXJ327745 SHF327696:SHF327745 SRB327696:SRB327745 TAX327696:TAX327745 TKT327696:TKT327745 TUP327696:TUP327745 UEL327696:UEL327745 UOH327696:UOH327745 UYD327696:UYD327745 VHZ327696:VHZ327745 VRV327696:VRV327745 WBR327696:WBR327745 WLN327696:WLN327745 WVJ327696:WVJ327745 B393232:B393281 IX393232:IX393281 ST393232:ST393281 ACP393232:ACP393281 AML393232:AML393281 AWH393232:AWH393281 BGD393232:BGD393281 BPZ393232:BPZ393281 BZV393232:BZV393281 CJR393232:CJR393281 CTN393232:CTN393281 DDJ393232:DDJ393281 DNF393232:DNF393281 DXB393232:DXB393281 EGX393232:EGX393281 EQT393232:EQT393281 FAP393232:FAP393281 FKL393232:FKL393281 FUH393232:FUH393281 GED393232:GED393281 GNZ393232:GNZ393281 GXV393232:GXV393281 HHR393232:HHR393281 HRN393232:HRN393281 IBJ393232:IBJ393281 ILF393232:ILF393281 IVB393232:IVB393281 JEX393232:JEX393281 JOT393232:JOT393281 JYP393232:JYP393281 KIL393232:KIL393281 KSH393232:KSH393281 LCD393232:LCD393281 LLZ393232:LLZ393281 LVV393232:LVV393281 MFR393232:MFR393281 MPN393232:MPN393281 MZJ393232:MZJ393281 NJF393232:NJF393281 NTB393232:NTB393281 OCX393232:OCX393281 OMT393232:OMT393281 OWP393232:OWP393281 PGL393232:PGL393281 PQH393232:PQH393281 QAD393232:QAD393281 QJZ393232:QJZ393281 QTV393232:QTV393281 RDR393232:RDR393281 RNN393232:RNN393281 RXJ393232:RXJ393281 SHF393232:SHF393281 SRB393232:SRB393281 TAX393232:TAX393281 TKT393232:TKT393281 TUP393232:TUP393281 UEL393232:UEL393281 UOH393232:UOH393281 UYD393232:UYD393281 VHZ393232:VHZ393281 VRV393232:VRV393281 WBR393232:WBR393281 WLN393232:WLN393281 WVJ393232:WVJ393281 B458768:B458817 IX458768:IX458817 ST458768:ST458817 ACP458768:ACP458817 AML458768:AML458817 AWH458768:AWH458817 BGD458768:BGD458817 BPZ458768:BPZ458817 BZV458768:BZV458817 CJR458768:CJR458817 CTN458768:CTN458817 DDJ458768:DDJ458817 DNF458768:DNF458817 DXB458768:DXB458817 EGX458768:EGX458817 EQT458768:EQT458817 FAP458768:FAP458817 FKL458768:FKL458817 FUH458768:FUH458817 GED458768:GED458817 GNZ458768:GNZ458817 GXV458768:GXV458817 HHR458768:HHR458817 HRN458768:HRN458817 IBJ458768:IBJ458817 ILF458768:ILF458817 IVB458768:IVB458817 JEX458768:JEX458817 JOT458768:JOT458817 JYP458768:JYP458817 KIL458768:KIL458817 KSH458768:KSH458817 LCD458768:LCD458817 LLZ458768:LLZ458817 LVV458768:LVV458817 MFR458768:MFR458817 MPN458768:MPN458817 MZJ458768:MZJ458817 NJF458768:NJF458817 NTB458768:NTB458817 OCX458768:OCX458817 OMT458768:OMT458817 OWP458768:OWP458817 PGL458768:PGL458817 PQH458768:PQH458817 QAD458768:QAD458817 QJZ458768:QJZ458817 QTV458768:QTV458817 RDR458768:RDR458817 RNN458768:RNN458817 RXJ458768:RXJ458817 SHF458768:SHF458817 SRB458768:SRB458817 TAX458768:TAX458817 TKT458768:TKT458817 TUP458768:TUP458817 UEL458768:UEL458817 UOH458768:UOH458817 UYD458768:UYD458817 VHZ458768:VHZ458817 VRV458768:VRV458817 WBR458768:WBR458817 WLN458768:WLN458817 WVJ458768:WVJ458817 B524304:B524353 IX524304:IX524353 ST524304:ST524353 ACP524304:ACP524353 AML524304:AML524353 AWH524304:AWH524353 BGD524304:BGD524353 BPZ524304:BPZ524353 BZV524304:BZV524353 CJR524304:CJR524353 CTN524304:CTN524353 DDJ524304:DDJ524353 DNF524304:DNF524353 DXB524304:DXB524353 EGX524304:EGX524353 EQT524304:EQT524353 FAP524304:FAP524353 FKL524304:FKL524353 FUH524304:FUH524353 GED524304:GED524353 GNZ524304:GNZ524353 GXV524304:GXV524353 HHR524304:HHR524353 HRN524304:HRN524353 IBJ524304:IBJ524353 ILF524304:ILF524353 IVB524304:IVB524353 JEX524304:JEX524353 JOT524304:JOT524353 JYP524304:JYP524353 KIL524304:KIL524353 KSH524304:KSH524353 LCD524304:LCD524353 LLZ524304:LLZ524353 LVV524304:LVV524353 MFR524304:MFR524353 MPN524304:MPN524353 MZJ524304:MZJ524353 NJF524304:NJF524353 NTB524304:NTB524353 OCX524304:OCX524353 OMT524304:OMT524353 OWP524304:OWP524353 PGL524304:PGL524353 PQH524304:PQH524353 QAD524304:QAD524353 QJZ524304:QJZ524353 QTV524304:QTV524353 RDR524304:RDR524353 RNN524304:RNN524353 RXJ524304:RXJ524353 SHF524304:SHF524353 SRB524304:SRB524353 TAX524304:TAX524353 TKT524304:TKT524353 TUP524304:TUP524353 UEL524304:UEL524353 UOH524304:UOH524353 UYD524304:UYD524353 VHZ524304:VHZ524353 VRV524304:VRV524353 WBR524304:WBR524353 WLN524304:WLN524353 WVJ524304:WVJ524353 B589840:B589889 IX589840:IX589889 ST589840:ST589889 ACP589840:ACP589889 AML589840:AML589889 AWH589840:AWH589889 BGD589840:BGD589889 BPZ589840:BPZ589889 BZV589840:BZV589889 CJR589840:CJR589889 CTN589840:CTN589889 DDJ589840:DDJ589889 DNF589840:DNF589889 DXB589840:DXB589889 EGX589840:EGX589889 EQT589840:EQT589889 FAP589840:FAP589889 FKL589840:FKL589889 FUH589840:FUH589889 GED589840:GED589889 GNZ589840:GNZ589889 GXV589840:GXV589889 HHR589840:HHR589889 HRN589840:HRN589889 IBJ589840:IBJ589889 ILF589840:ILF589889 IVB589840:IVB589889 JEX589840:JEX589889 JOT589840:JOT589889 JYP589840:JYP589889 KIL589840:KIL589889 KSH589840:KSH589889 LCD589840:LCD589889 LLZ589840:LLZ589889 LVV589840:LVV589889 MFR589840:MFR589889 MPN589840:MPN589889 MZJ589840:MZJ589889 NJF589840:NJF589889 NTB589840:NTB589889 OCX589840:OCX589889 OMT589840:OMT589889 OWP589840:OWP589889 PGL589840:PGL589889 PQH589840:PQH589889 QAD589840:QAD589889 QJZ589840:QJZ589889 QTV589840:QTV589889 RDR589840:RDR589889 RNN589840:RNN589889 RXJ589840:RXJ589889 SHF589840:SHF589889 SRB589840:SRB589889 TAX589840:TAX589889 TKT589840:TKT589889 TUP589840:TUP589889 UEL589840:UEL589889 UOH589840:UOH589889 UYD589840:UYD589889 VHZ589840:VHZ589889 VRV589840:VRV589889 WBR589840:WBR589889 WLN589840:WLN589889 WVJ589840:WVJ589889 B655376:B655425 IX655376:IX655425 ST655376:ST655425 ACP655376:ACP655425 AML655376:AML655425 AWH655376:AWH655425 BGD655376:BGD655425 BPZ655376:BPZ655425 BZV655376:BZV655425 CJR655376:CJR655425 CTN655376:CTN655425 DDJ655376:DDJ655425 DNF655376:DNF655425 DXB655376:DXB655425 EGX655376:EGX655425 EQT655376:EQT655425 FAP655376:FAP655425 FKL655376:FKL655425 FUH655376:FUH655425 GED655376:GED655425 GNZ655376:GNZ655425 GXV655376:GXV655425 HHR655376:HHR655425 HRN655376:HRN655425 IBJ655376:IBJ655425 ILF655376:ILF655425 IVB655376:IVB655425 JEX655376:JEX655425 JOT655376:JOT655425 JYP655376:JYP655425 KIL655376:KIL655425 KSH655376:KSH655425 LCD655376:LCD655425 LLZ655376:LLZ655425 LVV655376:LVV655425 MFR655376:MFR655425 MPN655376:MPN655425 MZJ655376:MZJ655425 NJF655376:NJF655425 NTB655376:NTB655425 OCX655376:OCX655425 OMT655376:OMT655425 OWP655376:OWP655425 PGL655376:PGL655425 PQH655376:PQH655425 QAD655376:QAD655425 QJZ655376:QJZ655425 QTV655376:QTV655425 RDR655376:RDR655425 RNN655376:RNN655425 RXJ655376:RXJ655425 SHF655376:SHF655425 SRB655376:SRB655425 TAX655376:TAX655425 TKT655376:TKT655425 TUP655376:TUP655425 UEL655376:UEL655425 UOH655376:UOH655425 UYD655376:UYD655425 VHZ655376:VHZ655425 VRV655376:VRV655425 WBR655376:WBR655425 WLN655376:WLN655425 WVJ655376:WVJ655425 B720912:B720961 IX720912:IX720961 ST720912:ST720961 ACP720912:ACP720961 AML720912:AML720961 AWH720912:AWH720961 BGD720912:BGD720961 BPZ720912:BPZ720961 BZV720912:BZV720961 CJR720912:CJR720961 CTN720912:CTN720961 DDJ720912:DDJ720961 DNF720912:DNF720961 DXB720912:DXB720961 EGX720912:EGX720961 EQT720912:EQT720961 FAP720912:FAP720961 FKL720912:FKL720961 FUH720912:FUH720961 GED720912:GED720961 GNZ720912:GNZ720961 GXV720912:GXV720961 HHR720912:HHR720961 HRN720912:HRN720961 IBJ720912:IBJ720961 ILF720912:ILF720961 IVB720912:IVB720961 JEX720912:JEX720961 JOT720912:JOT720961 JYP720912:JYP720961 KIL720912:KIL720961 KSH720912:KSH720961 LCD720912:LCD720961 LLZ720912:LLZ720961 LVV720912:LVV720961 MFR720912:MFR720961 MPN720912:MPN720961 MZJ720912:MZJ720961 NJF720912:NJF720961 NTB720912:NTB720961 OCX720912:OCX720961 OMT720912:OMT720961 OWP720912:OWP720961 PGL720912:PGL720961 PQH720912:PQH720961 QAD720912:QAD720961 QJZ720912:QJZ720961 QTV720912:QTV720961 RDR720912:RDR720961 RNN720912:RNN720961 RXJ720912:RXJ720961 SHF720912:SHF720961 SRB720912:SRB720961 TAX720912:TAX720961 TKT720912:TKT720961 TUP720912:TUP720961 UEL720912:UEL720961 UOH720912:UOH720961 UYD720912:UYD720961 VHZ720912:VHZ720961 VRV720912:VRV720961 WBR720912:WBR720961 WLN720912:WLN720961 WVJ720912:WVJ720961 B786448:B786497 IX786448:IX786497 ST786448:ST786497 ACP786448:ACP786497 AML786448:AML786497 AWH786448:AWH786497 BGD786448:BGD786497 BPZ786448:BPZ786497 BZV786448:BZV786497 CJR786448:CJR786497 CTN786448:CTN786497 DDJ786448:DDJ786497 DNF786448:DNF786497 DXB786448:DXB786497 EGX786448:EGX786497 EQT786448:EQT786497 FAP786448:FAP786497 FKL786448:FKL786497 FUH786448:FUH786497 GED786448:GED786497 GNZ786448:GNZ786497 GXV786448:GXV786497 HHR786448:HHR786497 HRN786448:HRN786497 IBJ786448:IBJ786497 ILF786448:ILF786497 IVB786448:IVB786497 JEX786448:JEX786497 JOT786448:JOT786497 JYP786448:JYP786497 KIL786448:KIL786497 KSH786448:KSH786497 LCD786448:LCD786497 LLZ786448:LLZ786497 LVV786448:LVV786497 MFR786448:MFR786497 MPN786448:MPN786497 MZJ786448:MZJ786497 NJF786448:NJF786497 NTB786448:NTB786497 OCX786448:OCX786497 OMT786448:OMT786497 OWP786448:OWP786497 PGL786448:PGL786497 PQH786448:PQH786497 QAD786448:QAD786497 QJZ786448:QJZ786497 QTV786448:QTV786497 RDR786448:RDR786497 RNN786448:RNN786497 RXJ786448:RXJ786497 SHF786448:SHF786497 SRB786448:SRB786497 TAX786448:TAX786497 TKT786448:TKT786497 TUP786448:TUP786497 UEL786448:UEL786497 UOH786448:UOH786497 UYD786448:UYD786497 VHZ786448:VHZ786497 VRV786448:VRV786497 WBR786448:WBR786497 WLN786448:WLN786497 WVJ786448:WVJ786497 B851984:B852033 IX851984:IX852033 ST851984:ST852033 ACP851984:ACP852033 AML851984:AML852033 AWH851984:AWH852033 BGD851984:BGD852033 BPZ851984:BPZ852033 BZV851984:BZV852033 CJR851984:CJR852033 CTN851984:CTN852033 DDJ851984:DDJ852033 DNF851984:DNF852033 DXB851984:DXB852033 EGX851984:EGX852033 EQT851984:EQT852033 FAP851984:FAP852033 FKL851984:FKL852033 FUH851984:FUH852033 GED851984:GED852033 GNZ851984:GNZ852033 GXV851984:GXV852033 HHR851984:HHR852033 HRN851984:HRN852033 IBJ851984:IBJ852033 ILF851984:ILF852033 IVB851984:IVB852033 JEX851984:JEX852033 JOT851984:JOT852033 JYP851984:JYP852033 KIL851984:KIL852033 KSH851984:KSH852033 LCD851984:LCD852033 LLZ851984:LLZ852033 LVV851984:LVV852033 MFR851984:MFR852033 MPN851984:MPN852033 MZJ851984:MZJ852033 NJF851984:NJF852033 NTB851984:NTB852033 OCX851984:OCX852033 OMT851984:OMT852033 OWP851984:OWP852033 PGL851984:PGL852033 PQH851984:PQH852033 QAD851984:QAD852033 QJZ851984:QJZ852033 QTV851984:QTV852033 RDR851984:RDR852033 RNN851984:RNN852033 RXJ851984:RXJ852033 SHF851984:SHF852033 SRB851984:SRB852033 TAX851984:TAX852033 TKT851984:TKT852033 TUP851984:TUP852033 UEL851984:UEL852033 UOH851984:UOH852033 UYD851984:UYD852033 VHZ851984:VHZ852033 VRV851984:VRV852033 WBR851984:WBR852033 WLN851984:WLN852033 WVJ851984:WVJ852033 B917520:B917569 IX917520:IX917569 ST917520:ST917569 ACP917520:ACP917569 AML917520:AML917569 AWH917520:AWH917569 BGD917520:BGD917569 BPZ917520:BPZ917569 BZV917520:BZV917569 CJR917520:CJR917569 CTN917520:CTN917569 DDJ917520:DDJ917569 DNF917520:DNF917569 DXB917520:DXB917569 EGX917520:EGX917569 EQT917520:EQT917569 FAP917520:FAP917569 FKL917520:FKL917569 FUH917520:FUH917569 GED917520:GED917569 GNZ917520:GNZ917569 GXV917520:GXV917569 HHR917520:HHR917569 HRN917520:HRN917569 IBJ917520:IBJ917569 ILF917520:ILF917569 IVB917520:IVB917569 JEX917520:JEX917569 JOT917520:JOT917569 JYP917520:JYP917569 KIL917520:KIL917569 KSH917520:KSH917569 LCD917520:LCD917569 LLZ917520:LLZ917569 LVV917520:LVV917569 MFR917520:MFR917569 MPN917520:MPN917569 MZJ917520:MZJ917569 NJF917520:NJF917569 NTB917520:NTB917569 OCX917520:OCX917569 OMT917520:OMT917569 OWP917520:OWP917569 PGL917520:PGL917569 PQH917520:PQH917569 QAD917520:QAD917569 QJZ917520:QJZ917569 QTV917520:QTV917569 RDR917520:RDR917569 RNN917520:RNN917569 RXJ917520:RXJ917569 SHF917520:SHF917569 SRB917520:SRB917569 TAX917520:TAX917569 TKT917520:TKT917569 TUP917520:TUP917569 UEL917520:UEL917569 UOH917520:UOH917569 UYD917520:UYD917569 VHZ917520:VHZ917569 VRV917520:VRV917569 WBR917520:WBR917569 WLN917520:WLN917569 WVJ917520:WVJ917569 B983056:B983105 IX983056:IX983105 ST983056:ST983105 ACP983056:ACP983105 AML983056:AML983105 AWH983056:AWH983105 BGD983056:BGD983105 BPZ983056:BPZ983105 BZV983056:BZV983105 CJR983056:CJR983105 CTN983056:CTN983105 DDJ983056:DDJ983105 DNF983056:DNF983105 DXB983056:DXB983105 EGX983056:EGX983105 EQT983056:EQT983105 FAP983056:FAP983105 FKL983056:FKL983105 FUH983056:FUH983105 GED983056:GED983105 GNZ983056:GNZ983105 GXV983056:GXV983105 HHR983056:HHR983105 HRN983056:HRN983105 IBJ983056:IBJ983105 ILF983056:ILF983105 IVB983056:IVB983105 JEX983056:JEX983105 JOT983056:JOT983105 JYP983056:JYP983105 KIL983056:KIL983105 KSH983056:KSH983105 LCD983056:LCD983105 LLZ983056:LLZ983105 LVV983056:LVV983105 MFR983056:MFR983105 MPN983056:MPN983105 MZJ983056:MZJ983105 NJF983056:NJF983105 NTB983056:NTB983105 OCX983056:OCX983105 OMT983056:OMT983105 OWP983056:OWP983105 PGL983056:PGL983105 PQH983056:PQH983105 QAD983056:QAD983105 QJZ983056:QJZ983105 QTV983056:QTV983105 RDR983056:RDR983105 RNN983056:RNN983105 RXJ983056:RXJ983105 SHF983056:SHF983105 SRB983056:SRB983105 TAX983056:TAX983105 TKT983056:TKT983105 TUP983056:TUP983105 UEL983056:UEL983105 UOH983056:UOH983105 UYD983056:UYD983105 VHZ983056:VHZ983105 VRV983056:VRV983105 WBR983056:WBR983105 WLN983056:WLN983105 WVJ983056:WVJ983105 WLN983107:WLN983156 IX67:IX116 ST67:ST116 ACP67:ACP116 AML67:AML116 AWH67:AWH116 BGD67:BGD116 BPZ67:BPZ116 BZV67:BZV116 CJR67:CJR116 CTN67:CTN116 DDJ67:DDJ116 DNF67:DNF116 DXB67:DXB116 EGX67:EGX116 EQT67:EQT116 FAP67:FAP116 FKL67:FKL116 FUH67:FUH116 GED67:GED116 GNZ67:GNZ116 GXV67:GXV116 HHR67:HHR116 HRN67:HRN116 IBJ67:IBJ116 ILF67:ILF116 IVB67:IVB116 JEX67:JEX116 JOT67:JOT116 JYP67:JYP116 KIL67:KIL116 KSH67:KSH116 LCD67:LCD116 LLZ67:LLZ116 LVV67:LVV116 MFR67:MFR116 MPN67:MPN116 MZJ67:MZJ116 NJF67:NJF116 NTB67:NTB116 OCX67:OCX116 OMT67:OMT116 OWP67:OWP116 PGL67:PGL116 PQH67:PQH116 QAD67:QAD116 QJZ67:QJZ116 QTV67:QTV116 RDR67:RDR116 RNN67:RNN116 RXJ67:RXJ116 SHF67:SHF116 SRB67:SRB116 TAX67:TAX116 TKT67:TKT116 TUP67:TUP116 UEL67:UEL116 UOH67:UOH116 UYD67:UYD116 VHZ67:VHZ116 VRV67:VRV116 WBR67:WBR116 WLN67:WLN116 WVJ67:WVJ116 B65603:B65652 IX65603:IX65652 ST65603:ST65652 ACP65603:ACP65652 AML65603:AML65652 AWH65603:AWH65652 BGD65603:BGD65652 BPZ65603:BPZ65652 BZV65603:BZV65652 CJR65603:CJR65652 CTN65603:CTN65652 DDJ65603:DDJ65652 DNF65603:DNF65652 DXB65603:DXB65652 EGX65603:EGX65652 EQT65603:EQT65652 FAP65603:FAP65652 FKL65603:FKL65652 FUH65603:FUH65652 GED65603:GED65652 GNZ65603:GNZ65652 GXV65603:GXV65652 HHR65603:HHR65652 HRN65603:HRN65652 IBJ65603:IBJ65652 ILF65603:ILF65652 IVB65603:IVB65652 JEX65603:JEX65652 JOT65603:JOT65652 JYP65603:JYP65652 KIL65603:KIL65652 KSH65603:KSH65652 LCD65603:LCD65652 LLZ65603:LLZ65652 LVV65603:LVV65652 MFR65603:MFR65652 MPN65603:MPN65652 MZJ65603:MZJ65652 NJF65603:NJF65652 NTB65603:NTB65652 OCX65603:OCX65652 OMT65603:OMT65652 OWP65603:OWP65652 PGL65603:PGL65652 PQH65603:PQH65652 QAD65603:QAD65652 QJZ65603:QJZ65652 QTV65603:QTV65652 RDR65603:RDR65652 RNN65603:RNN65652 RXJ65603:RXJ65652 SHF65603:SHF65652 SRB65603:SRB65652 TAX65603:TAX65652 TKT65603:TKT65652 TUP65603:TUP65652 UEL65603:UEL65652 UOH65603:UOH65652 UYD65603:UYD65652 VHZ65603:VHZ65652 VRV65603:VRV65652 WBR65603:WBR65652 WLN65603:WLN65652 WVJ65603:WVJ65652 B131139:B131188 IX131139:IX131188 ST131139:ST131188 ACP131139:ACP131188 AML131139:AML131188 AWH131139:AWH131188 BGD131139:BGD131188 BPZ131139:BPZ131188 BZV131139:BZV131188 CJR131139:CJR131188 CTN131139:CTN131188 DDJ131139:DDJ131188 DNF131139:DNF131188 DXB131139:DXB131188 EGX131139:EGX131188 EQT131139:EQT131188 FAP131139:FAP131188 FKL131139:FKL131188 FUH131139:FUH131188 GED131139:GED131188 GNZ131139:GNZ131188 GXV131139:GXV131188 HHR131139:HHR131188 HRN131139:HRN131188 IBJ131139:IBJ131188 ILF131139:ILF131188 IVB131139:IVB131188 JEX131139:JEX131188 JOT131139:JOT131188 JYP131139:JYP131188 KIL131139:KIL131188 KSH131139:KSH131188 LCD131139:LCD131188 LLZ131139:LLZ131188 LVV131139:LVV131188 MFR131139:MFR131188 MPN131139:MPN131188 MZJ131139:MZJ131188 NJF131139:NJF131188 NTB131139:NTB131188 OCX131139:OCX131188 OMT131139:OMT131188 OWP131139:OWP131188 PGL131139:PGL131188 PQH131139:PQH131188 QAD131139:QAD131188 QJZ131139:QJZ131188 QTV131139:QTV131188 RDR131139:RDR131188 RNN131139:RNN131188 RXJ131139:RXJ131188 SHF131139:SHF131188 SRB131139:SRB131188 TAX131139:TAX131188 TKT131139:TKT131188 TUP131139:TUP131188 UEL131139:UEL131188 UOH131139:UOH131188 UYD131139:UYD131188 VHZ131139:VHZ131188 VRV131139:VRV131188 WBR131139:WBR131188 WLN131139:WLN131188 WVJ131139:WVJ131188 B196675:B196724 IX196675:IX196724 ST196675:ST196724 ACP196675:ACP196724 AML196675:AML196724 AWH196675:AWH196724 BGD196675:BGD196724 BPZ196675:BPZ196724 BZV196675:BZV196724 CJR196675:CJR196724 CTN196675:CTN196724 DDJ196675:DDJ196724 DNF196675:DNF196724 DXB196675:DXB196724 EGX196675:EGX196724 EQT196675:EQT196724 FAP196675:FAP196724 FKL196675:FKL196724 FUH196675:FUH196724 GED196675:GED196724 GNZ196675:GNZ196724 GXV196675:GXV196724 HHR196675:HHR196724 HRN196675:HRN196724 IBJ196675:IBJ196724 ILF196675:ILF196724 IVB196675:IVB196724 JEX196675:JEX196724 JOT196675:JOT196724 JYP196675:JYP196724 KIL196675:KIL196724 KSH196675:KSH196724 LCD196675:LCD196724 LLZ196675:LLZ196724 LVV196675:LVV196724 MFR196675:MFR196724 MPN196675:MPN196724 MZJ196675:MZJ196724 NJF196675:NJF196724 NTB196675:NTB196724 OCX196675:OCX196724 OMT196675:OMT196724 OWP196675:OWP196724 PGL196675:PGL196724 PQH196675:PQH196724 QAD196675:QAD196724 QJZ196675:QJZ196724 QTV196675:QTV196724 RDR196675:RDR196724 RNN196675:RNN196724 RXJ196675:RXJ196724 SHF196675:SHF196724 SRB196675:SRB196724 TAX196675:TAX196724 TKT196675:TKT196724 TUP196675:TUP196724 UEL196675:UEL196724 UOH196675:UOH196724 UYD196675:UYD196724 VHZ196675:VHZ196724 VRV196675:VRV196724 WBR196675:WBR196724 WLN196675:WLN196724 WVJ196675:WVJ196724 B262211:B262260 IX262211:IX262260 ST262211:ST262260 ACP262211:ACP262260 AML262211:AML262260 AWH262211:AWH262260 BGD262211:BGD262260 BPZ262211:BPZ262260 BZV262211:BZV262260 CJR262211:CJR262260 CTN262211:CTN262260 DDJ262211:DDJ262260 DNF262211:DNF262260 DXB262211:DXB262260 EGX262211:EGX262260 EQT262211:EQT262260 FAP262211:FAP262260 FKL262211:FKL262260 FUH262211:FUH262260 GED262211:GED262260 GNZ262211:GNZ262260 GXV262211:GXV262260 HHR262211:HHR262260 HRN262211:HRN262260 IBJ262211:IBJ262260 ILF262211:ILF262260 IVB262211:IVB262260 JEX262211:JEX262260 JOT262211:JOT262260 JYP262211:JYP262260 KIL262211:KIL262260 KSH262211:KSH262260 LCD262211:LCD262260 LLZ262211:LLZ262260 LVV262211:LVV262260 MFR262211:MFR262260 MPN262211:MPN262260 MZJ262211:MZJ262260 NJF262211:NJF262260 NTB262211:NTB262260 OCX262211:OCX262260 OMT262211:OMT262260 OWP262211:OWP262260 PGL262211:PGL262260 PQH262211:PQH262260 QAD262211:QAD262260 QJZ262211:QJZ262260 QTV262211:QTV262260 RDR262211:RDR262260 RNN262211:RNN262260 RXJ262211:RXJ262260 SHF262211:SHF262260 SRB262211:SRB262260 TAX262211:TAX262260 TKT262211:TKT262260 TUP262211:TUP262260 UEL262211:UEL262260 UOH262211:UOH262260 UYD262211:UYD262260 VHZ262211:VHZ262260 VRV262211:VRV262260 WBR262211:WBR262260 WLN262211:WLN262260 WVJ262211:WVJ262260 B327747:B327796 IX327747:IX327796 ST327747:ST327796 ACP327747:ACP327796 AML327747:AML327796 AWH327747:AWH327796 BGD327747:BGD327796 BPZ327747:BPZ327796 BZV327747:BZV327796 CJR327747:CJR327796 CTN327747:CTN327796 DDJ327747:DDJ327796 DNF327747:DNF327796 DXB327747:DXB327796 EGX327747:EGX327796 EQT327747:EQT327796 FAP327747:FAP327796 FKL327747:FKL327796 FUH327747:FUH327796 GED327747:GED327796 GNZ327747:GNZ327796 GXV327747:GXV327796 HHR327747:HHR327796 HRN327747:HRN327796 IBJ327747:IBJ327796 ILF327747:ILF327796 IVB327747:IVB327796 JEX327747:JEX327796 JOT327747:JOT327796 JYP327747:JYP327796 KIL327747:KIL327796 KSH327747:KSH327796 LCD327747:LCD327796 LLZ327747:LLZ327796 LVV327747:LVV327796 MFR327747:MFR327796 MPN327747:MPN327796 MZJ327747:MZJ327796 NJF327747:NJF327796 NTB327747:NTB327796 OCX327747:OCX327796 OMT327747:OMT327796 OWP327747:OWP327796 PGL327747:PGL327796 PQH327747:PQH327796 QAD327747:QAD327796 QJZ327747:QJZ327796 QTV327747:QTV327796 RDR327747:RDR327796 RNN327747:RNN327796 RXJ327747:RXJ327796 SHF327747:SHF327796 SRB327747:SRB327796 TAX327747:TAX327796 TKT327747:TKT327796 TUP327747:TUP327796 UEL327747:UEL327796 UOH327747:UOH327796 UYD327747:UYD327796 VHZ327747:VHZ327796 VRV327747:VRV327796 WBR327747:WBR327796 WLN327747:WLN327796 WVJ327747:WVJ327796 B393283:B393332 IX393283:IX393332 ST393283:ST393332 ACP393283:ACP393332 AML393283:AML393332 AWH393283:AWH393332 BGD393283:BGD393332 BPZ393283:BPZ393332 BZV393283:BZV393332 CJR393283:CJR393332 CTN393283:CTN393332 DDJ393283:DDJ393332 DNF393283:DNF393332 DXB393283:DXB393332 EGX393283:EGX393332 EQT393283:EQT393332 FAP393283:FAP393332 FKL393283:FKL393332 FUH393283:FUH393332 GED393283:GED393332 GNZ393283:GNZ393332 GXV393283:GXV393332 HHR393283:HHR393332 HRN393283:HRN393332 IBJ393283:IBJ393332 ILF393283:ILF393332 IVB393283:IVB393332 JEX393283:JEX393332 JOT393283:JOT393332 JYP393283:JYP393332 KIL393283:KIL393332 KSH393283:KSH393332 LCD393283:LCD393332 LLZ393283:LLZ393332 LVV393283:LVV393332 MFR393283:MFR393332 MPN393283:MPN393332 MZJ393283:MZJ393332 NJF393283:NJF393332 NTB393283:NTB393332 OCX393283:OCX393332 OMT393283:OMT393332 OWP393283:OWP393332 PGL393283:PGL393332 PQH393283:PQH393332 QAD393283:QAD393332 QJZ393283:QJZ393332 QTV393283:QTV393332 RDR393283:RDR393332 RNN393283:RNN393332 RXJ393283:RXJ393332 SHF393283:SHF393332 SRB393283:SRB393332 TAX393283:TAX393332 TKT393283:TKT393332 TUP393283:TUP393332 UEL393283:UEL393332 UOH393283:UOH393332 UYD393283:UYD393332 VHZ393283:VHZ393332 VRV393283:VRV393332 WBR393283:WBR393332 WLN393283:WLN393332 WVJ393283:WVJ393332 B458819:B458868 IX458819:IX458868 ST458819:ST458868 ACP458819:ACP458868 AML458819:AML458868 AWH458819:AWH458868 BGD458819:BGD458868 BPZ458819:BPZ458868 BZV458819:BZV458868 CJR458819:CJR458868 CTN458819:CTN458868 DDJ458819:DDJ458868 DNF458819:DNF458868 DXB458819:DXB458868 EGX458819:EGX458868 EQT458819:EQT458868 FAP458819:FAP458868 FKL458819:FKL458868 FUH458819:FUH458868 GED458819:GED458868 GNZ458819:GNZ458868 GXV458819:GXV458868 HHR458819:HHR458868 HRN458819:HRN458868 IBJ458819:IBJ458868 ILF458819:ILF458868 IVB458819:IVB458868 JEX458819:JEX458868 JOT458819:JOT458868 JYP458819:JYP458868 KIL458819:KIL458868 KSH458819:KSH458868 LCD458819:LCD458868 LLZ458819:LLZ458868 LVV458819:LVV458868 MFR458819:MFR458868 MPN458819:MPN458868 MZJ458819:MZJ458868 NJF458819:NJF458868 NTB458819:NTB458868 OCX458819:OCX458868 OMT458819:OMT458868 OWP458819:OWP458868 PGL458819:PGL458868 PQH458819:PQH458868 QAD458819:QAD458868 QJZ458819:QJZ458868 QTV458819:QTV458868 RDR458819:RDR458868 RNN458819:RNN458868 RXJ458819:RXJ458868 SHF458819:SHF458868 SRB458819:SRB458868 TAX458819:TAX458868 TKT458819:TKT458868 TUP458819:TUP458868 UEL458819:UEL458868 UOH458819:UOH458868 UYD458819:UYD458868 VHZ458819:VHZ458868 VRV458819:VRV458868 WBR458819:WBR458868 WLN458819:WLN458868 WVJ458819:WVJ458868 B524355:B524404 IX524355:IX524404 ST524355:ST524404 ACP524355:ACP524404 AML524355:AML524404 AWH524355:AWH524404 BGD524355:BGD524404 BPZ524355:BPZ524404 BZV524355:BZV524404 CJR524355:CJR524404 CTN524355:CTN524404 DDJ524355:DDJ524404 DNF524355:DNF524404 DXB524355:DXB524404 EGX524355:EGX524404 EQT524355:EQT524404 FAP524355:FAP524404 FKL524355:FKL524404 FUH524355:FUH524404 GED524355:GED524404 GNZ524355:GNZ524404 GXV524355:GXV524404 HHR524355:HHR524404 HRN524355:HRN524404 IBJ524355:IBJ524404 ILF524355:ILF524404 IVB524355:IVB524404 JEX524355:JEX524404 JOT524355:JOT524404 JYP524355:JYP524404 KIL524355:KIL524404 KSH524355:KSH524404 LCD524355:LCD524404 LLZ524355:LLZ524404 LVV524355:LVV524404 MFR524355:MFR524404 MPN524355:MPN524404 MZJ524355:MZJ524404 NJF524355:NJF524404 NTB524355:NTB524404 OCX524355:OCX524404 OMT524355:OMT524404 OWP524355:OWP524404 PGL524355:PGL524404 PQH524355:PQH524404 QAD524355:QAD524404 QJZ524355:QJZ524404 QTV524355:QTV524404 RDR524355:RDR524404 RNN524355:RNN524404 RXJ524355:RXJ524404 SHF524355:SHF524404 SRB524355:SRB524404 TAX524355:TAX524404 TKT524355:TKT524404 TUP524355:TUP524404 UEL524355:UEL524404 UOH524355:UOH524404 UYD524355:UYD524404 VHZ524355:VHZ524404 VRV524355:VRV524404 WBR524355:WBR524404 WLN524355:WLN524404 WVJ524355:WVJ524404 B589891:B589940 IX589891:IX589940 ST589891:ST589940 ACP589891:ACP589940 AML589891:AML589940 AWH589891:AWH589940 BGD589891:BGD589940 BPZ589891:BPZ589940 BZV589891:BZV589940 CJR589891:CJR589940 CTN589891:CTN589940 DDJ589891:DDJ589940 DNF589891:DNF589940 DXB589891:DXB589940 EGX589891:EGX589940 EQT589891:EQT589940 FAP589891:FAP589940 FKL589891:FKL589940 FUH589891:FUH589940 GED589891:GED589940 GNZ589891:GNZ589940 GXV589891:GXV589940 HHR589891:HHR589940 HRN589891:HRN589940 IBJ589891:IBJ589940 ILF589891:ILF589940 IVB589891:IVB589940 JEX589891:JEX589940 JOT589891:JOT589940 JYP589891:JYP589940 KIL589891:KIL589940 KSH589891:KSH589940 LCD589891:LCD589940 LLZ589891:LLZ589940 LVV589891:LVV589940 MFR589891:MFR589940 MPN589891:MPN589940 MZJ589891:MZJ589940 NJF589891:NJF589940 NTB589891:NTB589940 OCX589891:OCX589940 OMT589891:OMT589940 OWP589891:OWP589940 PGL589891:PGL589940 PQH589891:PQH589940 QAD589891:QAD589940 QJZ589891:QJZ589940 QTV589891:QTV589940 RDR589891:RDR589940 RNN589891:RNN589940 RXJ589891:RXJ589940 SHF589891:SHF589940 SRB589891:SRB589940 TAX589891:TAX589940 TKT589891:TKT589940 TUP589891:TUP589940 UEL589891:UEL589940 UOH589891:UOH589940 UYD589891:UYD589940 VHZ589891:VHZ589940 VRV589891:VRV589940 WBR589891:WBR589940 WLN589891:WLN589940 WVJ589891:WVJ589940 B655427:B655476 IX655427:IX655476 ST655427:ST655476 ACP655427:ACP655476 AML655427:AML655476 AWH655427:AWH655476 BGD655427:BGD655476 BPZ655427:BPZ655476 BZV655427:BZV655476 CJR655427:CJR655476 CTN655427:CTN655476 DDJ655427:DDJ655476 DNF655427:DNF655476 DXB655427:DXB655476 EGX655427:EGX655476 EQT655427:EQT655476 FAP655427:FAP655476 FKL655427:FKL655476 FUH655427:FUH655476 GED655427:GED655476 GNZ655427:GNZ655476 GXV655427:GXV655476 HHR655427:HHR655476 HRN655427:HRN655476 IBJ655427:IBJ655476 ILF655427:ILF655476 IVB655427:IVB655476 JEX655427:JEX655476 JOT655427:JOT655476 JYP655427:JYP655476 KIL655427:KIL655476 KSH655427:KSH655476 LCD655427:LCD655476 LLZ655427:LLZ655476 LVV655427:LVV655476 MFR655427:MFR655476 MPN655427:MPN655476 MZJ655427:MZJ655476 NJF655427:NJF655476 NTB655427:NTB655476 OCX655427:OCX655476 OMT655427:OMT655476 OWP655427:OWP655476 PGL655427:PGL655476 PQH655427:PQH655476 QAD655427:QAD655476 QJZ655427:QJZ655476 QTV655427:QTV655476 RDR655427:RDR655476 RNN655427:RNN655476 RXJ655427:RXJ655476 SHF655427:SHF655476 SRB655427:SRB655476 TAX655427:TAX655476 TKT655427:TKT655476 TUP655427:TUP655476 UEL655427:UEL655476 UOH655427:UOH655476 UYD655427:UYD655476 VHZ655427:VHZ655476 VRV655427:VRV655476 WBR655427:WBR655476 WLN655427:WLN655476 WVJ655427:WVJ655476 B720963:B721012 IX720963:IX721012 ST720963:ST721012 ACP720963:ACP721012 AML720963:AML721012 AWH720963:AWH721012 BGD720963:BGD721012 BPZ720963:BPZ721012 BZV720963:BZV721012 CJR720963:CJR721012 CTN720963:CTN721012 DDJ720963:DDJ721012 DNF720963:DNF721012 DXB720963:DXB721012 EGX720963:EGX721012 EQT720963:EQT721012 FAP720963:FAP721012 FKL720963:FKL721012 FUH720963:FUH721012 GED720963:GED721012 GNZ720963:GNZ721012 GXV720963:GXV721012 HHR720963:HHR721012 HRN720963:HRN721012 IBJ720963:IBJ721012 ILF720963:ILF721012 IVB720963:IVB721012 JEX720963:JEX721012 JOT720963:JOT721012 JYP720963:JYP721012 KIL720963:KIL721012 KSH720963:KSH721012 LCD720963:LCD721012 LLZ720963:LLZ721012 LVV720963:LVV721012 MFR720963:MFR721012 MPN720963:MPN721012 MZJ720963:MZJ721012 NJF720963:NJF721012 NTB720963:NTB721012 OCX720963:OCX721012 OMT720963:OMT721012 OWP720963:OWP721012 PGL720963:PGL721012 PQH720963:PQH721012 QAD720963:QAD721012 QJZ720963:QJZ721012 QTV720963:QTV721012 RDR720963:RDR721012 RNN720963:RNN721012 RXJ720963:RXJ721012 SHF720963:SHF721012 SRB720963:SRB721012 TAX720963:TAX721012 TKT720963:TKT721012 TUP720963:TUP721012 UEL720963:UEL721012 UOH720963:UOH721012 UYD720963:UYD721012 VHZ720963:VHZ721012 VRV720963:VRV721012 WBR720963:WBR721012 WLN720963:WLN721012 WVJ720963:WVJ721012 B786499:B786548 IX786499:IX786548 ST786499:ST786548 ACP786499:ACP786548 AML786499:AML786548 AWH786499:AWH786548 BGD786499:BGD786548 BPZ786499:BPZ786548 BZV786499:BZV786548 CJR786499:CJR786548 CTN786499:CTN786548 DDJ786499:DDJ786548 DNF786499:DNF786548 DXB786499:DXB786548 EGX786499:EGX786548 EQT786499:EQT786548 FAP786499:FAP786548 FKL786499:FKL786548 FUH786499:FUH786548 GED786499:GED786548 GNZ786499:GNZ786548 GXV786499:GXV786548 HHR786499:HHR786548 HRN786499:HRN786548 IBJ786499:IBJ786548 ILF786499:ILF786548 IVB786499:IVB786548 JEX786499:JEX786548 JOT786499:JOT786548 JYP786499:JYP786548 KIL786499:KIL786548 KSH786499:KSH786548 LCD786499:LCD786548 LLZ786499:LLZ786548 LVV786499:LVV786548 MFR786499:MFR786548 MPN786499:MPN786548 MZJ786499:MZJ786548 NJF786499:NJF786548 NTB786499:NTB786548 OCX786499:OCX786548 OMT786499:OMT786548 OWP786499:OWP786548 PGL786499:PGL786548 PQH786499:PQH786548 QAD786499:QAD786548 QJZ786499:QJZ786548 QTV786499:QTV786548 RDR786499:RDR786548 RNN786499:RNN786548 RXJ786499:RXJ786548 SHF786499:SHF786548 SRB786499:SRB786548 TAX786499:TAX786548 TKT786499:TKT786548 TUP786499:TUP786548 UEL786499:UEL786548 UOH786499:UOH786548 UYD786499:UYD786548 VHZ786499:VHZ786548 VRV786499:VRV786548 WBR786499:WBR786548 WLN786499:WLN786548 WVJ786499:WVJ786548 B852035:B852084 IX852035:IX852084 ST852035:ST852084 ACP852035:ACP852084 AML852035:AML852084 AWH852035:AWH852084 BGD852035:BGD852084 BPZ852035:BPZ852084 BZV852035:BZV852084 CJR852035:CJR852084 CTN852035:CTN852084 DDJ852035:DDJ852084 DNF852035:DNF852084 DXB852035:DXB852084 EGX852035:EGX852084 EQT852035:EQT852084 FAP852035:FAP852084 FKL852035:FKL852084 FUH852035:FUH852084 GED852035:GED852084 GNZ852035:GNZ852084 GXV852035:GXV852084 HHR852035:HHR852084 HRN852035:HRN852084 IBJ852035:IBJ852084 ILF852035:ILF852084 IVB852035:IVB852084 JEX852035:JEX852084 JOT852035:JOT852084 JYP852035:JYP852084 KIL852035:KIL852084 KSH852035:KSH852084 LCD852035:LCD852084 LLZ852035:LLZ852084 LVV852035:LVV852084 MFR852035:MFR852084 MPN852035:MPN852084 MZJ852035:MZJ852084 NJF852035:NJF852084 NTB852035:NTB852084 OCX852035:OCX852084 OMT852035:OMT852084 OWP852035:OWP852084 PGL852035:PGL852084 PQH852035:PQH852084 QAD852035:QAD852084 QJZ852035:QJZ852084 QTV852035:QTV852084 RDR852035:RDR852084 RNN852035:RNN852084 RXJ852035:RXJ852084 SHF852035:SHF852084 SRB852035:SRB852084 TAX852035:TAX852084 TKT852035:TKT852084 TUP852035:TUP852084 UEL852035:UEL852084 UOH852035:UOH852084 UYD852035:UYD852084 VHZ852035:VHZ852084 VRV852035:VRV852084 WBR852035:WBR852084 WLN852035:WLN852084 WVJ852035:WVJ852084 B917571:B917620 IX917571:IX917620 ST917571:ST917620 ACP917571:ACP917620 AML917571:AML917620 AWH917571:AWH917620 BGD917571:BGD917620 BPZ917571:BPZ917620 BZV917571:BZV917620 CJR917571:CJR917620 CTN917571:CTN917620 DDJ917571:DDJ917620 DNF917571:DNF917620 DXB917571:DXB917620 EGX917571:EGX917620 EQT917571:EQT917620 FAP917571:FAP917620 FKL917571:FKL917620 FUH917571:FUH917620 GED917571:GED917620 GNZ917571:GNZ917620 GXV917571:GXV917620 HHR917571:HHR917620 HRN917571:HRN917620 IBJ917571:IBJ917620 ILF917571:ILF917620 IVB917571:IVB917620 JEX917571:JEX917620 JOT917571:JOT917620 JYP917571:JYP917620 KIL917571:KIL917620 KSH917571:KSH917620 LCD917571:LCD917620 LLZ917571:LLZ917620 LVV917571:LVV917620 MFR917571:MFR917620 MPN917571:MPN917620 MZJ917571:MZJ917620 NJF917571:NJF917620 NTB917571:NTB917620 OCX917571:OCX917620 OMT917571:OMT917620 OWP917571:OWP917620 PGL917571:PGL917620 PQH917571:PQH917620 QAD917571:QAD917620 QJZ917571:QJZ917620 QTV917571:QTV917620 RDR917571:RDR917620 RNN917571:RNN917620 RXJ917571:RXJ917620 SHF917571:SHF917620 SRB917571:SRB917620 TAX917571:TAX917620 TKT917571:TKT917620 TUP917571:TUP917620 UEL917571:UEL917620 UOH917571:UOH917620 UYD917571:UYD917620 VHZ917571:VHZ917620 VRV917571:VRV917620 WBR917571:WBR917620 WLN917571:WLN917620 WVJ917571:WVJ917620 B983107:B983156 IX983107:IX983156 ST983107:ST983156 ACP983107:ACP983156 AML983107:AML983156 AWH983107:AWH983156 BGD983107:BGD983156 BPZ983107:BPZ983156 BZV983107:BZV983156 CJR983107:CJR983156 CTN983107:CTN983156 DDJ983107:DDJ983156 DNF983107:DNF983156 DXB983107:DXB983156 EGX983107:EGX983156 EQT983107:EQT983156 FAP983107:FAP983156 FKL983107:FKL983156 FUH983107:FUH983156 GED983107:GED983156 GNZ983107:GNZ983156 GXV983107:GXV983156 HHR983107:HHR983156 HRN983107:HRN983156 IBJ983107:IBJ983156 ILF983107:ILF983156 IVB983107:IVB983156 JEX983107:JEX983156 JOT983107:JOT983156 JYP983107:JYP983156 KIL983107:KIL983156 KSH983107:KSH983156 LCD983107:LCD983156 LLZ983107:LLZ983156 LVV983107:LVV983156 MFR983107:MFR983156 MPN983107:MPN983156 MZJ983107:MZJ983156 NJF983107:NJF983156 NTB983107:NTB983156 OCX983107:OCX983156 OMT983107:OMT983156 OWP983107:OWP983156 PGL983107:PGL983156 PQH983107:PQH983156 QAD983107:QAD983156 QJZ983107:QJZ983156 QTV983107:QTV983156 RDR983107:RDR983156 RNN983107:RNN983156 RXJ983107:RXJ983156 SHF983107:SHF983156 SRB983107:SRB983156 TAX983107:TAX983156 TKT983107:TKT983156 TUP983107:TUP983156 UEL983107:UEL983156 UOH983107:UOH983156 UYD983107:UYD983156 VHZ983107:VHZ983156 VRV983107:VRV983156 WBR983107:WBR983156" xr:uid="{8045916E-B3F7-4283-941E-7F6E4B7157A4}"/>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9 JM65549 TI65549 ADE65549 ANA65549 AWW65549 BGS65549 BQO65549 CAK65549 CKG65549 CUC65549 DDY65549 DNU65549 DXQ65549 EHM65549 ERI65549 FBE65549 FLA65549 FUW65549 GES65549 GOO65549 GYK65549 HIG65549 HSC65549 IBY65549 ILU65549 IVQ65549 JFM65549 JPI65549 JZE65549 KJA65549 KSW65549 LCS65549 LMO65549 LWK65549 MGG65549 MQC65549 MZY65549 NJU65549 NTQ65549 ODM65549 ONI65549 OXE65549 PHA65549 PQW65549 QAS65549 QKO65549 QUK65549 REG65549 ROC65549 RXY65549 SHU65549 SRQ65549 TBM65549 TLI65549 TVE65549 UFA65549 UOW65549 UYS65549 VIO65549 VSK65549 WCG65549 WMC65549 WVY65549 Q131085 JM131085 TI131085 ADE131085 ANA131085 AWW131085 BGS131085 BQO131085 CAK131085 CKG131085 CUC131085 DDY131085 DNU131085 DXQ131085 EHM131085 ERI131085 FBE131085 FLA131085 FUW131085 GES131085 GOO131085 GYK131085 HIG131085 HSC131085 IBY131085 ILU131085 IVQ131085 JFM131085 JPI131085 JZE131085 KJA131085 KSW131085 LCS131085 LMO131085 LWK131085 MGG131085 MQC131085 MZY131085 NJU131085 NTQ131085 ODM131085 ONI131085 OXE131085 PHA131085 PQW131085 QAS131085 QKO131085 QUK131085 REG131085 ROC131085 RXY131085 SHU131085 SRQ131085 TBM131085 TLI131085 TVE131085 UFA131085 UOW131085 UYS131085 VIO131085 VSK131085 WCG131085 WMC131085 WVY131085 Q196621 JM196621 TI196621 ADE196621 ANA196621 AWW196621 BGS196621 BQO196621 CAK196621 CKG196621 CUC196621 DDY196621 DNU196621 DXQ196621 EHM196621 ERI196621 FBE196621 FLA196621 FUW196621 GES196621 GOO196621 GYK196621 HIG196621 HSC196621 IBY196621 ILU196621 IVQ196621 JFM196621 JPI196621 JZE196621 KJA196621 KSW196621 LCS196621 LMO196621 LWK196621 MGG196621 MQC196621 MZY196621 NJU196621 NTQ196621 ODM196621 ONI196621 OXE196621 PHA196621 PQW196621 QAS196621 QKO196621 QUK196621 REG196621 ROC196621 RXY196621 SHU196621 SRQ196621 TBM196621 TLI196621 TVE196621 UFA196621 UOW196621 UYS196621 VIO196621 VSK196621 WCG196621 WMC196621 WVY196621 Q262157 JM262157 TI262157 ADE262157 ANA262157 AWW262157 BGS262157 BQO262157 CAK262157 CKG262157 CUC262157 DDY262157 DNU262157 DXQ262157 EHM262157 ERI262157 FBE262157 FLA262157 FUW262157 GES262157 GOO262157 GYK262157 HIG262157 HSC262157 IBY262157 ILU262157 IVQ262157 JFM262157 JPI262157 JZE262157 KJA262157 KSW262157 LCS262157 LMO262157 LWK262157 MGG262157 MQC262157 MZY262157 NJU262157 NTQ262157 ODM262157 ONI262157 OXE262157 PHA262157 PQW262157 QAS262157 QKO262157 QUK262157 REG262157 ROC262157 RXY262157 SHU262157 SRQ262157 TBM262157 TLI262157 TVE262157 UFA262157 UOW262157 UYS262157 VIO262157 VSK262157 WCG262157 WMC262157 WVY262157 Q327693 JM327693 TI327693 ADE327693 ANA327693 AWW327693 BGS327693 BQO327693 CAK327693 CKG327693 CUC327693 DDY327693 DNU327693 DXQ327693 EHM327693 ERI327693 FBE327693 FLA327693 FUW327693 GES327693 GOO327693 GYK327693 HIG327693 HSC327693 IBY327693 ILU327693 IVQ327693 JFM327693 JPI327693 JZE327693 KJA327693 KSW327693 LCS327693 LMO327693 LWK327693 MGG327693 MQC327693 MZY327693 NJU327693 NTQ327693 ODM327693 ONI327693 OXE327693 PHA327693 PQW327693 QAS327693 QKO327693 QUK327693 REG327693 ROC327693 RXY327693 SHU327693 SRQ327693 TBM327693 TLI327693 TVE327693 UFA327693 UOW327693 UYS327693 VIO327693 VSK327693 WCG327693 WMC327693 WVY327693 Q393229 JM393229 TI393229 ADE393229 ANA393229 AWW393229 BGS393229 BQO393229 CAK393229 CKG393229 CUC393229 DDY393229 DNU393229 DXQ393229 EHM393229 ERI393229 FBE393229 FLA393229 FUW393229 GES393229 GOO393229 GYK393229 HIG393229 HSC393229 IBY393229 ILU393229 IVQ393229 JFM393229 JPI393229 JZE393229 KJA393229 KSW393229 LCS393229 LMO393229 LWK393229 MGG393229 MQC393229 MZY393229 NJU393229 NTQ393229 ODM393229 ONI393229 OXE393229 PHA393229 PQW393229 QAS393229 QKO393229 QUK393229 REG393229 ROC393229 RXY393229 SHU393229 SRQ393229 TBM393229 TLI393229 TVE393229 UFA393229 UOW393229 UYS393229 VIO393229 VSK393229 WCG393229 WMC393229 WVY393229 Q458765 JM458765 TI458765 ADE458765 ANA458765 AWW458765 BGS458765 BQO458765 CAK458765 CKG458765 CUC458765 DDY458765 DNU458765 DXQ458765 EHM458765 ERI458765 FBE458765 FLA458765 FUW458765 GES458765 GOO458765 GYK458765 HIG458765 HSC458765 IBY458765 ILU458765 IVQ458765 JFM458765 JPI458765 JZE458765 KJA458765 KSW458765 LCS458765 LMO458765 LWK458765 MGG458765 MQC458765 MZY458765 NJU458765 NTQ458765 ODM458765 ONI458765 OXE458765 PHA458765 PQW458765 QAS458765 QKO458765 QUK458765 REG458765 ROC458765 RXY458765 SHU458765 SRQ458765 TBM458765 TLI458765 TVE458765 UFA458765 UOW458765 UYS458765 VIO458765 VSK458765 WCG458765 WMC458765 WVY458765 Q524301 JM524301 TI524301 ADE524301 ANA524301 AWW524301 BGS524301 BQO524301 CAK524301 CKG524301 CUC524301 DDY524301 DNU524301 DXQ524301 EHM524301 ERI524301 FBE524301 FLA524301 FUW524301 GES524301 GOO524301 GYK524301 HIG524301 HSC524301 IBY524301 ILU524301 IVQ524301 JFM524301 JPI524301 JZE524301 KJA524301 KSW524301 LCS524301 LMO524301 LWK524301 MGG524301 MQC524301 MZY524301 NJU524301 NTQ524301 ODM524301 ONI524301 OXE524301 PHA524301 PQW524301 QAS524301 QKO524301 QUK524301 REG524301 ROC524301 RXY524301 SHU524301 SRQ524301 TBM524301 TLI524301 TVE524301 UFA524301 UOW524301 UYS524301 VIO524301 VSK524301 WCG524301 WMC524301 WVY524301 Q589837 JM589837 TI589837 ADE589837 ANA589837 AWW589837 BGS589837 BQO589837 CAK589837 CKG589837 CUC589837 DDY589837 DNU589837 DXQ589837 EHM589837 ERI589837 FBE589837 FLA589837 FUW589837 GES589837 GOO589837 GYK589837 HIG589837 HSC589837 IBY589837 ILU589837 IVQ589837 JFM589837 JPI589837 JZE589837 KJA589837 KSW589837 LCS589837 LMO589837 LWK589837 MGG589837 MQC589837 MZY589837 NJU589837 NTQ589837 ODM589837 ONI589837 OXE589837 PHA589837 PQW589837 QAS589837 QKO589837 QUK589837 REG589837 ROC589837 RXY589837 SHU589837 SRQ589837 TBM589837 TLI589837 TVE589837 UFA589837 UOW589837 UYS589837 VIO589837 VSK589837 WCG589837 WMC589837 WVY589837 Q655373 JM655373 TI655373 ADE655373 ANA655373 AWW655373 BGS655373 BQO655373 CAK655373 CKG655373 CUC655373 DDY655373 DNU655373 DXQ655373 EHM655373 ERI655373 FBE655373 FLA655373 FUW655373 GES655373 GOO655373 GYK655373 HIG655373 HSC655373 IBY655373 ILU655373 IVQ655373 JFM655373 JPI655373 JZE655373 KJA655373 KSW655373 LCS655373 LMO655373 LWK655373 MGG655373 MQC655373 MZY655373 NJU655373 NTQ655373 ODM655373 ONI655373 OXE655373 PHA655373 PQW655373 QAS655373 QKO655373 QUK655373 REG655373 ROC655373 RXY655373 SHU655373 SRQ655373 TBM655373 TLI655373 TVE655373 UFA655373 UOW655373 UYS655373 VIO655373 VSK655373 WCG655373 WMC655373 WVY655373 Q720909 JM720909 TI720909 ADE720909 ANA720909 AWW720909 BGS720909 BQO720909 CAK720909 CKG720909 CUC720909 DDY720909 DNU720909 DXQ720909 EHM720909 ERI720909 FBE720909 FLA720909 FUW720909 GES720909 GOO720909 GYK720909 HIG720909 HSC720909 IBY720909 ILU720909 IVQ720909 JFM720909 JPI720909 JZE720909 KJA720909 KSW720909 LCS720909 LMO720909 LWK720909 MGG720909 MQC720909 MZY720909 NJU720909 NTQ720909 ODM720909 ONI720909 OXE720909 PHA720909 PQW720909 QAS720909 QKO720909 QUK720909 REG720909 ROC720909 RXY720909 SHU720909 SRQ720909 TBM720909 TLI720909 TVE720909 UFA720909 UOW720909 UYS720909 VIO720909 VSK720909 WCG720909 WMC720909 WVY720909 Q786445 JM786445 TI786445 ADE786445 ANA786445 AWW786445 BGS786445 BQO786445 CAK786445 CKG786445 CUC786445 DDY786445 DNU786445 DXQ786445 EHM786445 ERI786445 FBE786445 FLA786445 FUW786445 GES786445 GOO786445 GYK786445 HIG786445 HSC786445 IBY786445 ILU786445 IVQ786445 JFM786445 JPI786445 JZE786445 KJA786445 KSW786445 LCS786445 LMO786445 LWK786445 MGG786445 MQC786445 MZY786445 NJU786445 NTQ786445 ODM786445 ONI786445 OXE786445 PHA786445 PQW786445 QAS786445 QKO786445 QUK786445 REG786445 ROC786445 RXY786445 SHU786445 SRQ786445 TBM786445 TLI786445 TVE786445 UFA786445 UOW786445 UYS786445 VIO786445 VSK786445 WCG786445 WMC786445 WVY786445 Q851981 JM851981 TI851981 ADE851981 ANA851981 AWW851981 BGS851981 BQO851981 CAK851981 CKG851981 CUC851981 DDY851981 DNU851981 DXQ851981 EHM851981 ERI851981 FBE851981 FLA851981 FUW851981 GES851981 GOO851981 GYK851981 HIG851981 HSC851981 IBY851981 ILU851981 IVQ851981 JFM851981 JPI851981 JZE851981 KJA851981 KSW851981 LCS851981 LMO851981 LWK851981 MGG851981 MQC851981 MZY851981 NJU851981 NTQ851981 ODM851981 ONI851981 OXE851981 PHA851981 PQW851981 QAS851981 QKO851981 QUK851981 REG851981 ROC851981 RXY851981 SHU851981 SRQ851981 TBM851981 TLI851981 TVE851981 UFA851981 UOW851981 UYS851981 VIO851981 VSK851981 WCG851981 WMC851981 WVY851981 Q917517 JM917517 TI917517 ADE917517 ANA917517 AWW917517 BGS917517 BQO917517 CAK917517 CKG917517 CUC917517 DDY917517 DNU917517 DXQ917517 EHM917517 ERI917517 FBE917517 FLA917517 FUW917517 GES917517 GOO917517 GYK917517 HIG917517 HSC917517 IBY917517 ILU917517 IVQ917517 JFM917517 JPI917517 JZE917517 KJA917517 KSW917517 LCS917517 LMO917517 LWK917517 MGG917517 MQC917517 MZY917517 NJU917517 NTQ917517 ODM917517 ONI917517 OXE917517 PHA917517 PQW917517 QAS917517 QKO917517 QUK917517 REG917517 ROC917517 RXY917517 SHU917517 SRQ917517 TBM917517 TLI917517 TVE917517 UFA917517 UOW917517 UYS917517 VIO917517 VSK917517 WCG917517 WMC917517 WVY917517 Q983053 JM983053 TI983053 ADE983053 ANA983053 AWW983053 BGS983053 BQO983053 CAK983053 CKG983053 CUC983053 DDY983053 DNU983053 DXQ983053 EHM983053 ERI983053 FBE983053 FLA983053 FUW983053 GES983053 GOO983053 GYK983053 HIG983053 HSC983053 IBY983053 ILU983053 IVQ983053 JFM983053 JPI983053 JZE983053 KJA983053 KSW983053 LCS983053 LMO983053 LWK983053 MGG983053 MQC983053 MZY983053 NJU983053 NTQ983053 ODM983053 ONI983053 OXE983053 PHA983053 PQW983053 QAS983053 QKO983053 QUK983053 REG983053 ROC983053 RXY983053 SHU983053 SRQ983053 TBM983053 TLI983053 TVE983053 UFA983053 UOW983053 UYS983053 VIO983053 VSK983053 WCG983053 WMC983053 WVY983053 WWO983053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9 JZ65549 TV65549 ADR65549 ANN65549 AXJ65549 BHF65549 BRB65549 CAX65549 CKT65549 CUP65549 DEL65549 DOH65549 DYD65549 EHZ65549 ERV65549 FBR65549 FLN65549 FVJ65549 GFF65549 GPB65549 GYX65549 HIT65549 HSP65549 ICL65549 IMH65549 IWD65549 JFZ65549 JPV65549 JZR65549 KJN65549 KTJ65549 LDF65549 LNB65549 LWX65549 MGT65549 MQP65549 NAL65549 NKH65549 NUD65549 ODZ65549 ONV65549 OXR65549 PHN65549 PRJ65549 QBF65549 QLB65549 QUX65549 RET65549 ROP65549 RYL65549 SIH65549 SSD65549 TBZ65549 TLV65549 TVR65549 UFN65549 UPJ65549 UZF65549 VJB65549 VSX65549 WCT65549 WMP65549 WWL65549 AD131085 JZ131085 TV131085 ADR131085 ANN131085 AXJ131085 BHF131085 BRB131085 CAX131085 CKT131085 CUP131085 DEL131085 DOH131085 DYD131085 EHZ131085 ERV131085 FBR131085 FLN131085 FVJ131085 GFF131085 GPB131085 GYX131085 HIT131085 HSP131085 ICL131085 IMH131085 IWD131085 JFZ131085 JPV131085 JZR131085 KJN131085 KTJ131085 LDF131085 LNB131085 LWX131085 MGT131085 MQP131085 NAL131085 NKH131085 NUD131085 ODZ131085 ONV131085 OXR131085 PHN131085 PRJ131085 QBF131085 QLB131085 QUX131085 RET131085 ROP131085 RYL131085 SIH131085 SSD131085 TBZ131085 TLV131085 TVR131085 UFN131085 UPJ131085 UZF131085 VJB131085 VSX131085 WCT131085 WMP131085 WWL131085 AD196621 JZ196621 TV196621 ADR196621 ANN196621 AXJ196621 BHF196621 BRB196621 CAX196621 CKT196621 CUP196621 DEL196621 DOH196621 DYD196621 EHZ196621 ERV196621 FBR196621 FLN196621 FVJ196621 GFF196621 GPB196621 GYX196621 HIT196621 HSP196621 ICL196621 IMH196621 IWD196621 JFZ196621 JPV196621 JZR196621 KJN196621 KTJ196621 LDF196621 LNB196621 LWX196621 MGT196621 MQP196621 NAL196621 NKH196621 NUD196621 ODZ196621 ONV196621 OXR196621 PHN196621 PRJ196621 QBF196621 QLB196621 QUX196621 RET196621 ROP196621 RYL196621 SIH196621 SSD196621 TBZ196621 TLV196621 TVR196621 UFN196621 UPJ196621 UZF196621 VJB196621 VSX196621 WCT196621 WMP196621 WWL196621 AD262157 JZ262157 TV262157 ADR262157 ANN262157 AXJ262157 BHF262157 BRB262157 CAX262157 CKT262157 CUP262157 DEL262157 DOH262157 DYD262157 EHZ262157 ERV262157 FBR262157 FLN262157 FVJ262157 GFF262157 GPB262157 GYX262157 HIT262157 HSP262157 ICL262157 IMH262157 IWD262157 JFZ262157 JPV262157 JZR262157 KJN262157 KTJ262157 LDF262157 LNB262157 LWX262157 MGT262157 MQP262157 NAL262157 NKH262157 NUD262157 ODZ262157 ONV262157 OXR262157 PHN262157 PRJ262157 QBF262157 QLB262157 QUX262157 RET262157 ROP262157 RYL262157 SIH262157 SSD262157 TBZ262157 TLV262157 TVR262157 UFN262157 UPJ262157 UZF262157 VJB262157 VSX262157 WCT262157 WMP262157 WWL262157 AD327693 JZ327693 TV327693 ADR327693 ANN327693 AXJ327693 BHF327693 BRB327693 CAX327693 CKT327693 CUP327693 DEL327693 DOH327693 DYD327693 EHZ327693 ERV327693 FBR327693 FLN327693 FVJ327693 GFF327693 GPB327693 GYX327693 HIT327693 HSP327693 ICL327693 IMH327693 IWD327693 JFZ327693 JPV327693 JZR327693 KJN327693 KTJ327693 LDF327693 LNB327693 LWX327693 MGT327693 MQP327693 NAL327693 NKH327693 NUD327693 ODZ327693 ONV327693 OXR327693 PHN327693 PRJ327693 QBF327693 QLB327693 QUX327693 RET327693 ROP327693 RYL327693 SIH327693 SSD327693 TBZ327693 TLV327693 TVR327693 UFN327693 UPJ327693 UZF327693 VJB327693 VSX327693 WCT327693 WMP327693 WWL327693 AD393229 JZ393229 TV393229 ADR393229 ANN393229 AXJ393229 BHF393229 BRB393229 CAX393229 CKT393229 CUP393229 DEL393229 DOH393229 DYD393229 EHZ393229 ERV393229 FBR393229 FLN393229 FVJ393229 GFF393229 GPB393229 GYX393229 HIT393229 HSP393229 ICL393229 IMH393229 IWD393229 JFZ393229 JPV393229 JZR393229 KJN393229 KTJ393229 LDF393229 LNB393229 LWX393229 MGT393229 MQP393229 NAL393229 NKH393229 NUD393229 ODZ393229 ONV393229 OXR393229 PHN393229 PRJ393229 QBF393229 QLB393229 QUX393229 RET393229 ROP393229 RYL393229 SIH393229 SSD393229 TBZ393229 TLV393229 TVR393229 UFN393229 UPJ393229 UZF393229 VJB393229 VSX393229 WCT393229 WMP393229 WWL393229 AD458765 JZ458765 TV458765 ADR458765 ANN458765 AXJ458765 BHF458765 BRB458765 CAX458765 CKT458765 CUP458765 DEL458765 DOH458765 DYD458765 EHZ458765 ERV458765 FBR458765 FLN458765 FVJ458765 GFF458765 GPB458765 GYX458765 HIT458765 HSP458765 ICL458765 IMH458765 IWD458765 JFZ458765 JPV458765 JZR458765 KJN458765 KTJ458765 LDF458765 LNB458765 LWX458765 MGT458765 MQP458765 NAL458765 NKH458765 NUD458765 ODZ458765 ONV458765 OXR458765 PHN458765 PRJ458765 QBF458765 QLB458765 QUX458765 RET458765 ROP458765 RYL458765 SIH458765 SSD458765 TBZ458765 TLV458765 TVR458765 UFN458765 UPJ458765 UZF458765 VJB458765 VSX458765 WCT458765 WMP458765 WWL458765 AD524301 JZ524301 TV524301 ADR524301 ANN524301 AXJ524301 BHF524301 BRB524301 CAX524301 CKT524301 CUP524301 DEL524301 DOH524301 DYD524301 EHZ524301 ERV524301 FBR524301 FLN524301 FVJ524301 GFF524301 GPB524301 GYX524301 HIT524301 HSP524301 ICL524301 IMH524301 IWD524301 JFZ524301 JPV524301 JZR524301 KJN524301 KTJ524301 LDF524301 LNB524301 LWX524301 MGT524301 MQP524301 NAL524301 NKH524301 NUD524301 ODZ524301 ONV524301 OXR524301 PHN524301 PRJ524301 QBF524301 QLB524301 QUX524301 RET524301 ROP524301 RYL524301 SIH524301 SSD524301 TBZ524301 TLV524301 TVR524301 UFN524301 UPJ524301 UZF524301 VJB524301 VSX524301 WCT524301 WMP524301 WWL524301 AD589837 JZ589837 TV589837 ADR589837 ANN589837 AXJ589837 BHF589837 BRB589837 CAX589837 CKT589837 CUP589837 DEL589837 DOH589837 DYD589837 EHZ589837 ERV589837 FBR589837 FLN589837 FVJ589837 GFF589837 GPB589837 GYX589837 HIT589837 HSP589837 ICL589837 IMH589837 IWD589837 JFZ589837 JPV589837 JZR589837 KJN589837 KTJ589837 LDF589837 LNB589837 LWX589837 MGT589837 MQP589837 NAL589837 NKH589837 NUD589837 ODZ589837 ONV589837 OXR589837 PHN589837 PRJ589837 QBF589837 QLB589837 QUX589837 RET589837 ROP589837 RYL589837 SIH589837 SSD589837 TBZ589837 TLV589837 TVR589837 UFN589837 UPJ589837 UZF589837 VJB589837 VSX589837 WCT589837 WMP589837 WWL589837 AD655373 JZ655373 TV655373 ADR655373 ANN655373 AXJ655373 BHF655373 BRB655373 CAX655373 CKT655373 CUP655373 DEL655373 DOH655373 DYD655373 EHZ655373 ERV655373 FBR655373 FLN655373 FVJ655373 GFF655373 GPB655373 GYX655373 HIT655373 HSP655373 ICL655373 IMH655373 IWD655373 JFZ655373 JPV655373 JZR655373 KJN655373 KTJ655373 LDF655373 LNB655373 LWX655373 MGT655373 MQP655373 NAL655373 NKH655373 NUD655373 ODZ655373 ONV655373 OXR655373 PHN655373 PRJ655373 QBF655373 QLB655373 QUX655373 RET655373 ROP655373 RYL655373 SIH655373 SSD655373 TBZ655373 TLV655373 TVR655373 UFN655373 UPJ655373 UZF655373 VJB655373 VSX655373 WCT655373 WMP655373 WWL655373 AD720909 JZ720909 TV720909 ADR720909 ANN720909 AXJ720909 BHF720909 BRB720909 CAX720909 CKT720909 CUP720909 DEL720909 DOH720909 DYD720909 EHZ720909 ERV720909 FBR720909 FLN720909 FVJ720909 GFF720909 GPB720909 GYX720909 HIT720909 HSP720909 ICL720909 IMH720909 IWD720909 JFZ720909 JPV720909 JZR720909 KJN720909 KTJ720909 LDF720909 LNB720909 LWX720909 MGT720909 MQP720909 NAL720909 NKH720909 NUD720909 ODZ720909 ONV720909 OXR720909 PHN720909 PRJ720909 QBF720909 QLB720909 QUX720909 RET720909 ROP720909 RYL720909 SIH720909 SSD720909 TBZ720909 TLV720909 TVR720909 UFN720909 UPJ720909 UZF720909 VJB720909 VSX720909 WCT720909 WMP720909 WWL720909 AD786445 JZ786445 TV786445 ADR786445 ANN786445 AXJ786445 BHF786445 BRB786445 CAX786445 CKT786445 CUP786445 DEL786445 DOH786445 DYD786445 EHZ786445 ERV786445 FBR786445 FLN786445 FVJ786445 GFF786445 GPB786445 GYX786445 HIT786445 HSP786445 ICL786445 IMH786445 IWD786445 JFZ786445 JPV786445 JZR786445 KJN786445 KTJ786445 LDF786445 LNB786445 LWX786445 MGT786445 MQP786445 NAL786445 NKH786445 NUD786445 ODZ786445 ONV786445 OXR786445 PHN786445 PRJ786445 QBF786445 QLB786445 QUX786445 RET786445 ROP786445 RYL786445 SIH786445 SSD786445 TBZ786445 TLV786445 TVR786445 UFN786445 UPJ786445 UZF786445 VJB786445 VSX786445 WCT786445 WMP786445 WWL786445 AD851981 JZ851981 TV851981 ADR851981 ANN851981 AXJ851981 BHF851981 BRB851981 CAX851981 CKT851981 CUP851981 DEL851981 DOH851981 DYD851981 EHZ851981 ERV851981 FBR851981 FLN851981 FVJ851981 GFF851981 GPB851981 GYX851981 HIT851981 HSP851981 ICL851981 IMH851981 IWD851981 JFZ851981 JPV851981 JZR851981 KJN851981 KTJ851981 LDF851981 LNB851981 LWX851981 MGT851981 MQP851981 NAL851981 NKH851981 NUD851981 ODZ851981 ONV851981 OXR851981 PHN851981 PRJ851981 QBF851981 QLB851981 QUX851981 RET851981 ROP851981 RYL851981 SIH851981 SSD851981 TBZ851981 TLV851981 TVR851981 UFN851981 UPJ851981 UZF851981 VJB851981 VSX851981 WCT851981 WMP851981 WWL851981 AD917517 JZ917517 TV917517 ADR917517 ANN917517 AXJ917517 BHF917517 BRB917517 CAX917517 CKT917517 CUP917517 DEL917517 DOH917517 DYD917517 EHZ917517 ERV917517 FBR917517 FLN917517 FVJ917517 GFF917517 GPB917517 GYX917517 HIT917517 HSP917517 ICL917517 IMH917517 IWD917517 JFZ917517 JPV917517 JZR917517 KJN917517 KTJ917517 LDF917517 LNB917517 LWX917517 MGT917517 MQP917517 NAL917517 NKH917517 NUD917517 ODZ917517 ONV917517 OXR917517 PHN917517 PRJ917517 QBF917517 QLB917517 QUX917517 RET917517 ROP917517 RYL917517 SIH917517 SSD917517 TBZ917517 TLV917517 TVR917517 UFN917517 UPJ917517 UZF917517 VJB917517 VSX917517 WCT917517 WMP917517 WWL917517 AD983053 JZ983053 TV983053 ADR983053 ANN983053 AXJ983053 BHF983053 BRB983053 CAX983053 CKT983053 CUP983053 DEL983053 DOH983053 DYD983053 EHZ983053 ERV983053 FBR983053 FLN983053 FVJ983053 GFF983053 GPB983053 GYX983053 HIT983053 HSP983053 ICL983053 IMH983053 IWD983053 JFZ983053 JPV983053 JZR983053 KJN983053 KTJ983053 LDF983053 LNB983053 LWX983053 MGT983053 MQP983053 NAL983053 NKH983053 NUD983053 ODZ983053 ONV983053 OXR983053 PHN983053 PRJ983053 QBF983053 QLB983053 QUX983053 RET983053 ROP983053 RYL983053 SIH983053 SSD983053 TBZ983053 TLV983053 TVR983053 UFN983053 UPJ983053 UZF983053 VJB983053 VSX983053 WCT983053 WMP983053 WWL983053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9 KC65549 TY65549 ADU65549 ANQ65549 AXM65549 BHI65549 BRE65549 CBA65549 CKW65549 CUS65549 DEO65549 DOK65549 DYG65549 EIC65549 ERY65549 FBU65549 FLQ65549 FVM65549 GFI65549 GPE65549 GZA65549 HIW65549 HSS65549 ICO65549 IMK65549 IWG65549 JGC65549 JPY65549 JZU65549 KJQ65549 KTM65549 LDI65549 LNE65549 LXA65549 MGW65549 MQS65549 NAO65549 NKK65549 NUG65549 OEC65549 ONY65549 OXU65549 PHQ65549 PRM65549 QBI65549 QLE65549 QVA65549 REW65549 ROS65549 RYO65549 SIK65549 SSG65549 TCC65549 TLY65549 TVU65549 UFQ65549 UPM65549 UZI65549 VJE65549 VTA65549 WCW65549 WMS65549 WWO65549 AG131085 KC131085 TY131085 ADU131085 ANQ131085 AXM131085 BHI131085 BRE131085 CBA131085 CKW131085 CUS131085 DEO131085 DOK131085 DYG131085 EIC131085 ERY131085 FBU131085 FLQ131085 FVM131085 GFI131085 GPE131085 GZA131085 HIW131085 HSS131085 ICO131085 IMK131085 IWG131085 JGC131085 JPY131085 JZU131085 KJQ131085 KTM131085 LDI131085 LNE131085 LXA131085 MGW131085 MQS131085 NAO131085 NKK131085 NUG131085 OEC131085 ONY131085 OXU131085 PHQ131085 PRM131085 QBI131085 QLE131085 QVA131085 REW131085 ROS131085 RYO131085 SIK131085 SSG131085 TCC131085 TLY131085 TVU131085 UFQ131085 UPM131085 UZI131085 VJE131085 VTA131085 WCW131085 WMS131085 WWO131085 AG196621 KC196621 TY196621 ADU196621 ANQ196621 AXM196621 BHI196621 BRE196621 CBA196621 CKW196621 CUS196621 DEO196621 DOK196621 DYG196621 EIC196621 ERY196621 FBU196621 FLQ196621 FVM196621 GFI196621 GPE196621 GZA196621 HIW196621 HSS196621 ICO196621 IMK196621 IWG196621 JGC196621 JPY196621 JZU196621 KJQ196621 KTM196621 LDI196621 LNE196621 LXA196621 MGW196621 MQS196621 NAO196621 NKK196621 NUG196621 OEC196621 ONY196621 OXU196621 PHQ196621 PRM196621 QBI196621 QLE196621 QVA196621 REW196621 ROS196621 RYO196621 SIK196621 SSG196621 TCC196621 TLY196621 TVU196621 UFQ196621 UPM196621 UZI196621 VJE196621 VTA196621 WCW196621 WMS196621 WWO196621 AG262157 KC262157 TY262157 ADU262157 ANQ262157 AXM262157 BHI262157 BRE262157 CBA262157 CKW262157 CUS262157 DEO262157 DOK262157 DYG262157 EIC262157 ERY262157 FBU262157 FLQ262157 FVM262157 GFI262157 GPE262157 GZA262157 HIW262157 HSS262157 ICO262157 IMK262157 IWG262157 JGC262157 JPY262157 JZU262157 KJQ262157 KTM262157 LDI262157 LNE262157 LXA262157 MGW262157 MQS262157 NAO262157 NKK262157 NUG262157 OEC262157 ONY262157 OXU262157 PHQ262157 PRM262157 QBI262157 QLE262157 QVA262157 REW262157 ROS262157 RYO262157 SIK262157 SSG262157 TCC262157 TLY262157 TVU262157 UFQ262157 UPM262157 UZI262157 VJE262157 VTA262157 WCW262157 WMS262157 WWO262157 AG327693 KC327693 TY327693 ADU327693 ANQ327693 AXM327693 BHI327693 BRE327693 CBA327693 CKW327693 CUS327693 DEO327693 DOK327693 DYG327693 EIC327693 ERY327693 FBU327693 FLQ327693 FVM327693 GFI327693 GPE327693 GZA327693 HIW327693 HSS327693 ICO327693 IMK327693 IWG327693 JGC327693 JPY327693 JZU327693 KJQ327693 KTM327693 LDI327693 LNE327693 LXA327693 MGW327693 MQS327693 NAO327693 NKK327693 NUG327693 OEC327693 ONY327693 OXU327693 PHQ327693 PRM327693 QBI327693 QLE327693 QVA327693 REW327693 ROS327693 RYO327693 SIK327693 SSG327693 TCC327693 TLY327693 TVU327693 UFQ327693 UPM327693 UZI327693 VJE327693 VTA327693 WCW327693 WMS327693 WWO327693 AG393229 KC393229 TY393229 ADU393229 ANQ393229 AXM393229 BHI393229 BRE393229 CBA393229 CKW393229 CUS393229 DEO393229 DOK393229 DYG393229 EIC393229 ERY393229 FBU393229 FLQ393229 FVM393229 GFI393229 GPE393229 GZA393229 HIW393229 HSS393229 ICO393229 IMK393229 IWG393229 JGC393229 JPY393229 JZU393229 KJQ393229 KTM393229 LDI393229 LNE393229 LXA393229 MGW393229 MQS393229 NAO393229 NKK393229 NUG393229 OEC393229 ONY393229 OXU393229 PHQ393229 PRM393229 QBI393229 QLE393229 QVA393229 REW393229 ROS393229 RYO393229 SIK393229 SSG393229 TCC393229 TLY393229 TVU393229 UFQ393229 UPM393229 UZI393229 VJE393229 VTA393229 WCW393229 WMS393229 WWO393229 AG458765 KC458765 TY458765 ADU458765 ANQ458765 AXM458765 BHI458765 BRE458765 CBA458765 CKW458765 CUS458765 DEO458765 DOK458765 DYG458765 EIC458765 ERY458765 FBU458765 FLQ458765 FVM458765 GFI458765 GPE458765 GZA458765 HIW458765 HSS458765 ICO458765 IMK458765 IWG458765 JGC458765 JPY458765 JZU458765 KJQ458765 KTM458765 LDI458765 LNE458765 LXA458765 MGW458765 MQS458765 NAO458765 NKK458765 NUG458765 OEC458765 ONY458765 OXU458765 PHQ458765 PRM458765 QBI458765 QLE458765 QVA458765 REW458765 ROS458765 RYO458765 SIK458765 SSG458765 TCC458765 TLY458765 TVU458765 UFQ458765 UPM458765 UZI458765 VJE458765 VTA458765 WCW458765 WMS458765 WWO458765 AG524301 KC524301 TY524301 ADU524301 ANQ524301 AXM524301 BHI524301 BRE524301 CBA524301 CKW524301 CUS524301 DEO524301 DOK524301 DYG524301 EIC524301 ERY524301 FBU524301 FLQ524301 FVM524301 GFI524301 GPE524301 GZA524301 HIW524301 HSS524301 ICO524301 IMK524301 IWG524301 JGC524301 JPY524301 JZU524301 KJQ524301 KTM524301 LDI524301 LNE524301 LXA524301 MGW524301 MQS524301 NAO524301 NKK524301 NUG524301 OEC524301 ONY524301 OXU524301 PHQ524301 PRM524301 QBI524301 QLE524301 QVA524301 REW524301 ROS524301 RYO524301 SIK524301 SSG524301 TCC524301 TLY524301 TVU524301 UFQ524301 UPM524301 UZI524301 VJE524301 VTA524301 WCW524301 WMS524301 WWO524301 AG589837 KC589837 TY589837 ADU589837 ANQ589837 AXM589837 BHI589837 BRE589837 CBA589837 CKW589837 CUS589837 DEO589837 DOK589837 DYG589837 EIC589837 ERY589837 FBU589837 FLQ589837 FVM589837 GFI589837 GPE589837 GZA589837 HIW589837 HSS589837 ICO589837 IMK589837 IWG589837 JGC589837 JPY589837 JZU589837 KJQ589837 KTM589837 LDI589837 LNE589837 LXA589837 MGW589837 MQS589837 NAO589837 NKK589837 NUG589837 OEC589837 ONY589837 OXU589837 PHQ589837 PRM589837 QBI589837 QLE589837 QVA589837 REW589837 ROS589837 RYO589837 SIK589837 SSG589837 TCC589837 TLY589837 TVU589837 UFQ589837 UPM589837 UZI589837 VJE589837 VTA589837 WCW589837 WMS589837 WWO589837 AG655373 KC655373 TY655373 ADU655373 ANQ655373 AXM655373 BHI655373 BRE655373 CBA655373 CKW655373 CUS655373 DEO655373 DOK655373 DYG655373 EIC655373 ERY655373 FBU655373 FLQ655373 FVM655373 GFI655373 GPE655373 GZA655373 HIW655373 HSS655373 ICO655373 IMK655373 IWG655373 JGC655373 JPY655373 JZU655373 KJQ655373 KTM655373 LDI655373 LNE655373 LXA655373 MGW655373 MQS655373 NAO655373 NKK655373 NUG655373 OEC655373 ONY655373 OXU655373 PHQ655373 PRM655373 QBI655373 QLE655373 QVA655373 REW655373 ROS655373 RYO655373 SIK655373 SSG655373 TCC655373 TLY655373 TVU655373 UFQ655373 UPM655373 UZI655373 VJE655373 VTA655373 WCW655373 WMS655373 WWO655373 AG720909 KC720909 TY720909 ADU720909 ANQ720909 AXM720909 BHI720909 BRE720909 CBA720909 CKW720909 CUS720909 DEO720909 DOK720909 DYG720909 EIC720909 ERY720909 FBU720909 FLQ720909 FVM720909 GFI720909 GPE720909 GZA720909 HIW720909 HSS720909 ICO720909 IMK720909 IWG720909 JGC720909 JPY720909 JZU720909 KJQ720909 KTM720909 LDI720909 LNE720909 LXA720909 MGW720909 MQS720909 NAO720909 NKK720909 NUG720909 OEC720909 ONY720909 OXU720909 PHQ720909 PRM720909 QBI720909 QLE720909 QVA720909 REW720909 ROS720909 RYO720909 SIK720909 SSG720909 TCC720909 TLY720909 TVU720909 UFQ720909 UPM720909 UZI720909 VJE720909 VTA720909 WCW720909 WMS720909 WWO720909 AG786445 KC786445 TY786445 ADU786445 ANQ786445 AXM786445 BHI786445 BRE786445 CBA786445 CKW786445 CUS786445 DEO786445 DOK786445 DYG786445 EIC786445 ERY786445 FBU786445 FLQ786445 FVM786445 GFI786445 GPE786445 GZA786445 HIW786445 HSS786445 ICO786445 IMK786445 IWG786445 JGC786445 JPY786445 JZU786445 KJQ786445 KTM786445 LDI786445 LNE786445 LXA786445 MGW786445 MQS786445 NAO786445 NKK786445 NUG786445 OEC786445 ONY786445 OXU786445 PHQ786445 PRM786445 QBI786445 QLE786445 QVA786445 REW786445 ROS786445 RYO786445 SIK786445 SSG786445 TCC786445 TLY786445 TVU786445 UFQ786445 UPM786445 UZI786445 VJE786445 VTA786445 WCW786445 WMS786445 WWO786445 AG851981 KC851981 TY851981 ADU851981 ANQ851981 AXM851981 BHI851981 BRE851981 CBA851981 CKW851981 CUS851981 DEO851981 DOK851981 DYG851981 EIC851981 ERY851981 FBU851981 FLQ851981 FVM851981 GFI851981 GPE851981 GZA851981 HIW851981 HSS851981 ICO851981 IMK851981 IWG851981 JGC851981 JPY851981 JZU851981 KJQ851981 KTM851981 LDI851981 LNE851981 LXA851981 MGW851981 MQS851981 NAO851981 NKK851981 NUG851981 OEC851981 ONY851981 OXU851981 PHQ851981 PRM851981 QBI851981 QLE851981 QVA851981 REW851981 ROS851981 RYO851981 SIK851981 SSG851981 TCC851981 TLY851981 TVU851981 UFQ851981 UPM851981 UZI851981 VJE851981 VTA851981 WCW851981 WMS851981 WWO851981 AG917517 KC917517 TY917517 ADU917517 ANQ917517 AXM917517 BHI917517 BRE917517 CBA917517 CKW917517 CUS917517 DEO917517 DOK917517 DYG917517 EIC917517 ERY917517 FBU917517 FLQ917517 FVM917517 GFI917517 GPE917517 GZA917517 HIW917517 HSS917517 ICO917517 IMK917517 IWG917517 JGC917517 JPY917517 JZU917517 KJQ917517 KTM917517 LDI917517 LNE917517 LXA917517 MGW917517 MQS917517 NAO917517 NKK917517 NUG917517 OEC917517 ONY917517 OXU917517 PHQ917517 PRM917517 QBI917517 QLE917517 QVA917517 REW917517 ROS917517 RYO917517 SIK917517 SSG917517 TCC917517 TLY917517 TVU917517 UFQ917517 UPM917517 UZI917517 VJE917517 VTA917517 WCW917517 WMS917517 WWO917517 AG983053 KC983053 TY983053 ADU983053 ANQ983053 AXM983053 BHI983053 BRE983053 CBA983053 CKW983053 CUS983053 DEO983053 DOK983053 DYG983053 EIC983053 ERY983053 FBU983053 FLQ983053 FVM983053 GFI983053 GPE983053 GZA983053 HIW983053 HSS983053 ICO983053 IMK983053 IWG983053 JGC983053 JPY983053 JZU983053 KJQ983053 KTM983053 LDI983053 LNE983053 LXA983053 MGW983053 MQS983053 NAO983053 NKK983053 NUG983053 OEC983053 ONY983053 OXU983053 PHQ983053 PRM983053 QBI983053 QLE983053 QVA983053 REW983053 ROS983053 RYO983053 SIK983053 SSG983053 TCC983053 TLY983053 TVU983053 UFQ983053 UPM983053 UZI983053 VJE983053 VTA983053 WCW983053 WMS983053 AG9" xr:uid="{06C1A7B9-9F60-4FD8-92EA-E95867AF2202}"/>
    <dataValidation allowBlank="1" showInputMessage="1" showErrorMessage="1" prompt="Quarterly Grade/Transmuted Grade" sqref="WWR983054:WWR983156 ADX67:ADX116 ANT67:ANT116 AXP67:AXP116 BHL67:BHL116 BRH67:BRH116 CBD67:CBD116 CKZ67:CKZ116 CUV67:CUV116 DER67:DER116 DON67:DON116 DYJ67:DYJ116 EIF67:EIF116 ESB67:ESB116 FBX67:FBX116 FLT67:FLT116 FVP67:FVP116 GFL67:GFL116 GPH67:GPH116 GZD67:GZD116 HIZ67:HIZ116 HSV67:HSV116 ICR67:ICR116 IMN67:IMN116 IWJ67:IWJ116 JGF67:JGF116 JQB67:JQB116 JZX67:JZX116 KJT67:KJT116 KTP67:KTP116 LDL67:LDL116 LNH67:LNH116 LXD67:LXD116 MGZ67:MGZ116 MQV67:MQV116 NAR67:NAR116 NKN67:NKN116 NUJ67:NUJ116 OEF67:OEF116 OOB67:OOB116 OXX67:OXX116 PHT67:PHT116 PRP67:PRP116 QBL67:QBL116 QLH67:QLH116 QVD67:QVD116 REZ67:REZ116 ROV67:ROV116 RYR67:RYR116 SIN67:SIN116 SSJ67:SSJ116 TCF67:TCF116 TMB67:TMB116 TVX67:TVX116 UFT67:UFT116 UPP67:UPP116 UZL67:UZL116 VJH67:VJH116 VTD67:VTD116 WCZ67:WCZ116 WMV67:WMV116 WWR67:WWR116 KF67:KF116 WMV983054:WMV983156 AJ65550:AJ65652 KF65550:KF65652 UB65550:UB65652 ADX65550:ADX65652 ANT65550:ANT65652 AXP65550:AXP65652 BHL65550:BHL65652 BRH65550:BRH65652 CBD65550:CBD65652 CKZ65550:CKZ65652 CUV65550:CUV65652 DER65550:DER65652 DON65550:DON65652 DYJ65550:DYJ65652 EIF65550:EIF65652 ESB65550:ESB65652 FBX65550:FBX65652 FLT65550:FLT65652 FVP65550:FVP65652 GFL65550:GFL65652 GPH65550:GPH65652 GZD65550:GZD65652 HIZ65550:HIZ65652 HSV65550:HSV65652 ICR65550:ICR65652 IMN65550:IMN65652 IWJ65550:IWJ65652 JGF65550:JGF65652 JQB65550:JQB65652 JZX65550:JZX65652 KJT65550:KJT65652 KTP65550:KTP65652 LDL65550:LDL65652 LNH65550:LNH65652 LXD65550:LXD65652 MGZ65550:MGZ65652 MQV65550:MQV65652 NAR65550:NAR65652 NKN65550:NKN65652 NUJ65550:NUJ65652 OEF65550:OEF65652 OOB65550:OOB65652 OXX65550:OXX65652 PHT65550:PHT65652 PRP65550:PRP65652 QBL65550:QBL65652 QLH65550:QLH65652 QVD65550:QVD65652 REZ65550:REZ65652 ROV65550:ROV65652 RYR65550:RYR65652 SIN65550:SIN65652 SSJ65550:SSJ65652 TCF65550:TCF65652 TMB65550:TMB65652 TVX65550:TVX65652 UFT65550:UFT65652 UPP65550:UPP65652 UZL65550:UZL65652 VJH65550:VJH65652 VTD65550:VTD65652 WCZ65550:WCZ65652 WMV65550:WMV65652 WWR65550:WWR65652 AJ131086:AJ131188 KF131086:KF131188 UB131086:UB131188 ADX131086:ADX131188 ANT131086:ANT131188 AXP131086:AXP131188 BHL131086:BHL131188 BRH131086:BRH131188 CBD131086:CBD131188 CKZ131086:CKZ131188 CUV131086:CUV131188 DER131086:DER131188 DON131086:DON131188 DYJ131086:DYJ131188 EIF131086:EIF131188 ESB131086:ESB131188 FBX131086:FBX131188 FLT131086:FLT131188 FVP131086:FVP131188 GFL131086:GFL131188 GPH131086:GPH131188 GZD131086:GZD131188 HIZ131086:HIZ131188 HSV131086:HSV131188 ICR131086:ICR131188 IMN131086:IMN131188 IWJ131086:IWJ131188 JGF131086:JGF131188 JQB131086:JQB131188 JZX131086:JZX131188 KJT131086:KJT131188 KTP131086:KTP131188 LDL131086:LDL131188 LNH131086:LNH131188 LXD131086:LXD131188 MGZ131086:MGZ131188 MQV131086:MQV131188 NAR131086:NAR131188 NKN131086:NKN131188 NUJ131086:NUJ131188 OEF131086:OEF131188 OOB131086:OOB131188 OXX131086:OXX131188 PHT131086:PHT131188 PRP131086:PRP131188 QBL131086:QBL131188 QLH131086:QLH131188 QVD131086:QVD131188 REZ131086:REZ131188 ROV131086:ROV131188 RYR131086:RYR131188 SIN131086:SIN131188 SSJ131086:SSJ131188 TCF131086:TCF131188 TMB131086:TMB131188 TVX131086:TVX131188 UFT131086:UFT131188 UPP131086:UPP131188 UZL131086:UZL131188 VJH131086:VJH131188 VTD131086:VTD131188 WCZ131086:WCZ131188 WMV131086:WMV131188 WWR131086:WWR131188 AJ196622:AJ196724 KF196622:KF196724 UB196622:UB196724 ADX196622:ADX196724 ANT196622:ANT196724 AXP196622:AXP196724 BHL196622:BHL196724 BRH196622:BRH196724 CBD196622:CBD196724 CKZ196622:CKZ196724 CUV196622:CUV196724 DER196622:DER196724 DON196622:DON196724 DYJ196622:DYJ196724 EIF196622:EIF196724 ESB196622:ESB196724 FBX196622:FBX196724 FLT196622:FLT196724 FVP196622:FVP196724 GFL196622:GFL196724 GPH196622:GPH196724 GZD196622:GZD196724 HIZ196622:HIZ196724 HSV196622:HSV196724 ICR196622:ICR196724 IMN196622:IMN196724 IWJ196622:IWJ196724 JGF196622:JGF196724 JQB196622:JQB196724 JZX196622:JZX196724 KJT196622:KJT196724 KTP196622:KTP196724 LDL196622:LDL196724 LNH196622:LNH196724 LXD196622:LXD196724 MGZ196622:MGZ196724 MQV196622:MQV196724 NAR196622:NAR196724 NKN196622:NKN196724 NUJ196622:NUJ196724 OEF196622:OEF196724 OOB196622:OOB196724 OXX196622:OXX196724 PHT196622:PHT196724 PRP196622:PRP196724 QBL196622:QBL196724 QLH196622:QLH196724 QVD196622:QVD196724 REZ196622:REZ196724 ROV196622:ROV196724 RYR196622:RYR196724 SIN196622:SIN196724 SSJ196622:SSJ196724 TCF196622:TCF196724 TMB196622:TMB196724 TVX196622:TVX196724 UFT196622:UFT196724 UPP196622:UPP196724 UZL196622:UZL196724 VJH196622:VJH196724 VTD196622:VTD196724 WCZ196622:WCZ196724 WMV196622:WMV196724 WWR196622:WWR196724 AJ262158:AJ262260 KF262158:KF262260 UB262158:UB262260 ADX262158:ADX262260 ANT262158:ANT262260 AXP262158:AXP262260 BHL262158:BHL262260 BRH262158:BRH262260 CBD262158:CBD262260 CKZ262158:CKZ262260 CUV262158:CUV262260 DER262158:DER262260 DON262158:DON262260 DYJ262158:DYJ262260 EIF262158:EIF262260 ESB262158:ESB262260 FBX262158:FBX262260 FLT262158:FLT262260 FVP262158:FVP262260 GFL262158:GFL262260 GPH262158:GPH262260 GZD262158:GZD262260 HIZ262158:HIZ262260 HSV262158:HSV262260 ICR262158:ICR262260 IMN262158:IMN262260 IWJ262158:IWJ262260 JGF262158:JGF262260 JQB262158:JQB262260 JZX262158:JZX262260 KJT262158:KJT262260 KTP262158:KTP262260 LDL262158:LDL262260 LNH262158:LNH262260 LXD262158:LXD262260 MGZ262158:MGZ262260 MQV262158:MQV262260 NAR262158:NAR262260 NKN262158:NKN262260 NUJ262158:NUJ262260 OEF262158:OEF262260 OOB262158:OOB262260 OXX262158:OXX262260 PHT262158:PHT262260 PRP262158:PRP262260 QBL262158:QBL262260 QLH262158:QLH262260 QVD262158:QVD262260 REZ262158:REZ262260 ROV262158:ROV262260 RYR262158:RYR262260 SIN262158:SIN262260 SSJ262158:SSJ262260 TCF262158:TCF262260 TMB262158:TMB262260 TVX262158:TVX262260 UFT262158:UFT262260 UPP262158:UPP262260 UZL262158:UZL262260 VJH262158:VJH262260 VTD262158:VTD262260 WCZ262158:WCZ262260 WMV262158:WMV262260 WWR262158:WWR262260 AJ327694:AJ327796 KF327694:KF327796 UB327694:UB327796 ADX327694:ADX327796 ANT327694:ANT327796 AXP327694:AXP327796 BHL327694:BHL327796 BRH327694:BRH327796 CBD327694:CBD327796 CKZ327694:CKZ327796 CUV327694:CUV327796 DER327694:DER327796 DON327694:DON327796 DYJ327694:DYJ327796 EIF327694:EIF327796 ESB327694:ESB327796 FBX327694:FBX327796 FLT327694:FLT327796 FVP327694:FVP327796 GFL327694:GFL327796 GPH327694:GPH327796 GZD327694:GZD327796 HIZ327694:HIZ327796 HSV327694:HSV327796 ICR327694:ICR327796 IMN327694:IMN327796 IWJ327694:IWJ327796 JGF327694:JGF327796 JQB327694:JQB327796 JZX327694:JZX327796 KJT327694:KJT327796 KTP327694:KTP327796 LDL327694:LDL327796 LNH327694:LNH327796 LXD327694:LXD327796 MGZ327694:MGZ327796 MQV327694:MQV327796 NAR327694:NAR327796 NKN327694:NKN327796 NUJ327694:NUJ327796 OEF327694:OEF327796 OOB327694:OOB327796 OXX327694:OXX327796 PHT327694:PHT327796 PRP327694:PRP327796 QBL327694:QBL327796 QLH327694:QLH327796 QVD327694:QVD327796 REZ327694:REZ327796 ROV327694:ROV327796 RYR327694:RYR327796 SIN327694:SIN327796 SSJ327694:SSJ327796 TCF327694:TCF327796 TMB327694:TMB327796 TVX327694:TVX327796 UFT327694:UFT327796 UPP327694:UPP327796 UZL327694:UZL327796 VJH327694:VJH327796 VTD327694:VTD327796 WCZ327694:WCZ327796 WMV327694:WMV327796 WWR327694:WWR327796 AJ393230:AJ393332 KF393230:KF393332 UB393230:UB393332 ADX393230:ADX393332 ANT393230:ANT393332 AXP393230:AXP393332 BHL393230:BHL393332 BRH393230:BRH393332 CBD393230:CBD393332 CKZ393230:CKZ393332 CUV393230:CUV393332 DER393230:DER393332 DON393230:DON393332 DYJ393230:DYJ393332 EIF393230:EIF393332 ESB393230:ESB393332 FBX393230:FBX393332 FLT393230:FLT393332 FVP393230:FVP393332 GFL393230:GFL393332 GPH393230:GPH393332 GZD393230:GZD393332 HIZ393230:HIZ393332 HSV393230:HSV393332 ICR393230:ICR393332 IMN393230:IMN393332 IWJ393230:IWJ393332 JGF393230:JGF393332 JQB393230:JQB393332 JZX393230:JZX393332 KJT393230:KJT393332 KTP393230:KTP393332 LDL393230:LDL393332 LNH393230:LNH393332 LXD393230:LXD393332 MGZ393230:MGZ393332 MQV393230:MQV393332 NAR393230:NAR393332 NKN393230:NKN393332 NUJ393230:NUJ393332 OEF393230:OEF393332 OOB393230:OOB393332 OXX393230:OXX393332 PHT393230:PHT393332 PRP393230:PRP393332 QBL393230:QBL393332 QLH393230:QLH393332 QVD393230:QVD393332 REZ393230:REZ393332 ROV393230:ROV393332 RYR393230:RYR393332 SIN393230:SIN393332 SSJ393230:SSJ393332 TCF393230:TCF393332 TMB393230:TMB393332 TVX393230:TVX393332 UFT393230:UFT393332 UPP393230:UPP393332 UZL393230:UZL393332 VJH393230:VJH393332 VTD393230:VTD393332 WCZ393230:WCZ393332 WMV393230:WMV393332 WWR393230:WWR393332 AJ458766:AJ458868 KF458766:KF458868 UB458766:UB458868 ADX458766:ADX458868 ANT458766:ANT458868 AXP458766:AXP458868 BHL458766:BHL458868 BRH458766:BRH458868 CBD458766:CBD458868 CKZ458766:CKZ458868 CUV458766:CUV458868 DER458766:DER458868 DON458766:DON458868 DYJ458766:DYJ458868 EIF458766:EIF458868 ESB458766:ESB458868 FBX458766:FBX458868 FLT458766:FLT458868 FVP458766:FVP458868 GFL458766:GFL458868 GPH458766:GPH458868 GZD458766:GZD458868 HIZ458766:HIZ458868 HSV458766:HSV458868 ICR458766:ICR458868 IMN458766:IMN458868 IWJ458766:IWJ458868 JGF458766:JGF458868 JQB458766:JQB458868 JZX458766:JZX458868 KJT458766:KJT458868 KTP458766:KTP458868 LDL458766:LDL458868 LNH458766:LNH458868 LXD458766:LXD458868 MGZ458766:MGZ458868 MQV458766:MQV458868 NAR458766:NAR458868 NKN458766:NKN458868 NUJ458766:NUJ458868 OEF458766:OEF458868 OOB458766:OOB458868 OXX458766:OXX458868 PHT458766:PHT458868 PRP458766:PRP458868 QBL458766:QBL458868 QLH458766:QLH458868 QVD458766:QVD458868 REZ458766:REZ458868 ROV458766:ROV458868 RYR458766:RYR458868 SIN458766:SIN458868 SSJ458766:SSJ458868 TCF458766:TCF458868 TMB458766:TMB458868 TVX458766:TVX458868 UFT458766:UFT458868 UPP458766:UPP458868 UZL458766:UZL458868 VJH458766:VJH458868 VTD458766:VTD458868 WCZ458766:WCZ458868 WMV458766:WMV458868 WWR458766:WWR458868 AJ524302:AJ524404 KF524302:KF524404 UB524302:UB524404 ADX524302:ADX524404 ANT524302:ANT524404 AXP524302:AXP524404 BHL524302:BHL524404 BRH524302:BRH524404 CBD524302:CBD524404 CKZ524302:CKZ524404 CUV524302:CUV524404 DER524302:DER524404 DON524302:DON524404 DYJ524302:DYJ524404 EIF524302:EIF524404 ESB524302:ESB524404 FBX524302:FBX524404 FLT524302:FLT524404 FVP524302:FVP524404 GFL524302:GFL524404 GPH524302:GPH524404 GZD524302:GZD524404 HIZ524302:HIZ524404 HSV524302:HSV524404 ICR524302:ICR524404 IMN524302:IMN524404 IWJ524302:IWJ524404 JGF524302:JGF524404 JQB524302:JQB524404 JZX524302:JZX524404 KJT524302:KJT524404 KTP524302:KTP524404 LDL524302:LDL524404 LNH524302:LNH524404 LXD524302:LXD524404 MGZ524302:MGZ524404 MQV524302:MQV524404 NAR524302:NAR524404 NKN524302:NKN524404 NUJ524302:NUJ524404 OEF524302:OEF524404 OOB524302:OOB524404 OXX524302:OXX524404 PHT524302:PHT524404 PRP524302:PRP524404 QBL524302:QBL524404 QLH524302:QLH524404 QVD524302:QVD524404 REZ524302:REZ524404 ROV524302:ROV524404 RYR524302:RYR524404 SIN524302:SIN524404 SSJ524302:SSJ524404 TCF524302:TCF524404 TMB524302:TMB524404 TVX524302:TVX524404 UFT524302:UFT524404 UPP524302:UPP524404 UZL524302:UZL524404 VJH524302:VJH524404 VTD524302:VTD524404 WCZ524302:WCZ524404 WMV524302:WMV524404 WWR524302:WWR524404 AJ589838:AJ589940 KF589838:KF589940 UB589838:UB589940 ADX589838:ADX589940 ANT589838:ANT589940 AXP589838:AXP589940 BHL589838:BHL589940 BRH589838:BRH589940 CBD589838:CBD589940 CKZ589838:CKZ589940 CUV589838:CUV589940 DER589838:DER589940 DON589838:DON589940 DYJ589838:DYJ589940 EIF589838:EIF589940 ESB589838:ESB589940 FBX589838:FBX589940 FLT589838:FLT589940 FVP589838:FVP589940 GFL589838:GFL589940 GPH589838:GPH589940 GZD589838:GZD589940 HIZ589838:HIZ589940 HSV589838:HSV589940 ICR589838:ICR589940 IMN589838:IMN589940 IWJ589838:IWJ589940 JGF589838:JGF589940 JQB589838:JQB589940 JZX589838:JZX589940 KJT589838:KJT589940 KTP589838:KTP589940 LDL589838:LDL589940 LNH589838:LNH589940 LXD589838:LXD589940 MGZ589838:MGZ589940 MQV589838:MQV589940 NAR589838:NAR589940 NKN589838:NKN589940 NUJ589838:NUJ589940 OEF589838:OEF589940 OOB589838:OOB589940 OXX589838:OXX589940 PHT589838:PHT589940 PRP589838:PRP589940 QBL589838:QBL589940 QLH589838:QLH589940 QVD589838:QVD589940 REZ589838:REZ589940 ROV589838:ROV589940 RYR589838:RYR589940 SIN589838:SIN589940 SSJ589838:SSJ589940 TCF589838:TCF589940 TMB589838:TMB589940 TVX589838:TVX589940 UFT589838:UFT589940 UPP589838:UPP589940 UZL589838:UZL589940 VJH589838:VJH589940 VTD589838:VTD589940 WCZ589838:WCZ589940 WMV589838:WMV589940 WWR589838:WWR589940 AJ655374:AJ655476 KF655374:KF655476 UB655374:UB655476 ADX655374:ADX655476 ANT655374:ANT655476 AXP655374:AXP655476 BHL655374:BHL655476 BRH655374:BRH655476 CBD655374:CBD655476 CKZ655374:CKZ655476 CUV655374:CUV655476 DER655374:DER655476 DON655374:DON655476 DYJ655374:DYJ655476 EIF655374:EIF655476 ESB655374:ESB655476 FBX655374:FBX655476 FLT655374:FLT655476 FVP655374:FVP655476 GFL655374:GFL655476 GPH655374:GPH655476 GZD655374:GZD655476 HIZ655374:HIZ655476 HSV655374:HSV655476 ICR655374:ICR655476 IMN655374:IMN655476 IWJ655374:IWJ655476 JGF655374:JGF655476 JQB655374:JQB655476 JZX655374:JZX655476 KJT655374:KJT655476 KTP655374:KTP655476 LDL655374:LDL655476 LNH655374:LNH655476 LXD655374:LXD655476 MGZ655374:MGZ655476 MQV655374:MQV655476 NAR655374:NAR655476 NKN655374:NKN655476 NUJ655374:NUJ655476 OEF655374:OEF655476 OOB655374:OOB655476 OXX655374:OXX655476 PHT655374:PHT655476 PRP655374:PRP655476 QBL655374:QBL655476 QLH655374:QLH655476 QVD655374:QVD655476 REZ655374:REZ655476 ROV655374:ROV655476 RYR655374:RYR655476 SIN655374:SIN655476 SSJ655374:SSJ655476 TCF655374:TCF655476 TMB655374:TMB655476 TVX655374:TVX655476 UFT655374:UFT655476 UPP655374:UPP655476 UZL655374:UZL655476 VJH655374:VJH655476 VTD655374:VTD655476 WCZ655374:WCZ655476 WMV655374:WMV655476 WWR655374:WWR655476 AJ720910:AJ721012 KF720910:KF721012 UB720910:UB721012 ADX720910:ADX721012 ANT720910:ANT721012 AXP720910:AXP721012 BHL720910:BHL721012 BRH720910:BRH721012 CBD720910:CBD721012 CKZ720910:CKZ721012 CUV720910:CUV721012 DER720910:DER721012 DON720910:DON721012 DYJ720910:DYJ721012 EIF720910:EIF721012 ESB720910:ESB721012 FBX720910:FBX721012 FLT720910:FLT721012 FVP720910:FVP721012 GFL720910:GFL721012 GPH720910:GPH721012 GZD720910:GZD721012 HIZ720910:HIZ721012 HSV720910:HSV721012 ICR720910:ICR721012 IMN720910:IMN721012 IWJ720910:IWJ721012 JGF720910:JGF721012 JQB720910:JQB721012 JZX720910:JZX721012 KJT720910:KJT721012 KTP720910:KTP721012 LDL720910:LDL721012 LNH720910:LNH721012 LXD720910:LXD721012 MGZ720910:MGZ721012 MQV720910:MQV721012 NAR720910:NAR721012 NKN720910:NKN721012 NUJ720910:NUJ721012 OEF720910:OEF721012 OOB720910:OOB721012 OXX720910:OXX721012 PHT720910:PHT721012 PRP720910:PRP721012 QBL720910:QBL721012 QLH720910:QLH721012 QVD720910:QVD721012 REZ720910:REZ721012 ROV720910:ROV721012 RYR720910:RYR721012 SIN720910:SIN721012 SSJ720910:SSJ721012 TCF720910:TCF721012 TMB720910:TMB721012 TVX720910:TVX721012 UFT720910:UFT721012 UPP720910:UPP721012 UZL720910:UZL721012 VJH720910:VJH721012 VTD720910:VTD721012 WCZ720910:WCZ721012 WMV720910:WMV721012 WWR720910:WWR721012 AJ786446:AJ786548 KF786446:KF786548 UB786446:UB786548 ADX786446:ADX786548 ANT786446:ANT786548 AXP786446:AXP786548 BHL786446:BHL786548 BRH786446:BRH786548 CBD786446:CBD786548 CKZ786446:CKZ786548 CUV786446:CUV786548 DER786446:DER786548 DON786446:DON786548 DYJ786446:DYJ786548 EIF786446:EIF786548 ESB786446:ESB786548 FBX786446:FBX786548 FLT786446:FLT786548 FVP786446:FVP786548 GFL786446:GFL786548 GPH786446:GPH786548 GZD786446:GZD786548 HIZ786446:HIZ786548 HSV786446:HSV786548 ICR786446:ICR786548 IMN786446:IMN786548 IWJ786446:IWJ786548 JGF786446:JGF786548 JQB786446:JQB786548 JZX786446:JZX786548 KJT786446:KJT786548 KTP786446:KTP786548 LDL786446:LDL786548 LNH786446:LNH786548 LXD786446:LXD786548 MGZ786446:MGZ786548 MQV786446:MQV786548 NAR786446:NAR786548 NKN786446:NKN786548 NUJ786446:NUJ786548 OEF786446:OEF786548 OOB786446:OOB786548 OXX786446:OXX786548 PHT786446:PHT786548 PRP786446:PRP786548 QBL786446:QBL786548 QLH786446:QLH786548 QVD786446:QVD786548 REZ786446:REZ786548 ROV786446:ROV786548 RYR786446:RYR786548 SIN786446:SIN786548 SSJ786446:SSJ786548 TCF786446:TCF786548 TMB786446:TMB786548 TVX786446:TVX786548 UFT786446:UFT786548 UPP786446:UPP786548 UZL786446:UZL786548 VJH786446:VJH786548 VTD786446:VTD786548 WCZ786446:WCZ786548 WMV786446:WMV786548 WWR786446:WWR786548 AJ851982:AJ852084 KF851982:KF852084 UB851982:UB852084 ADX851982:ADX852084 ANT851982:ANT852084 AXP851982:AXP852084 BHL851982:BHL852084 BRH851982:BRH852084 CBD851982:CBD852084 CKZ851982:CKZ852084 CUV851982:CUV852084 DER851982:DER852084 DON851982:DON852084 DYJ851982:DYJ852084 EIF851982:EIF852084 ESB851982:ESB852084 FBX851982:FBX852084 FLT851982:FLT852084 FVP851982:FVP852084 GFL851982:GFL852084 GPH851982:GPH852084 GZD851982:GZD852084 HIZ851982:HIZ852084 HSV851982:HSV852084 ICR851982:ICR852084 IMN851982:IMN852084 IWJ851982:IWJ852084 JGF851982:JGF852084 JQB851982:JQB852084 JZX851982:JZX852084 KJT851982:KJT852084 KTP851982:KTP852084 LDL851982:LDL852084 LNH851982:LNH852084 LXD851982:LXD852084 MGZ851982:MGZ852084 MQV851982:MQV852084 NAR851982:NAR852084 NKN851982:NKN852084 NUJ851982:NUJ852084 OEF851982:OEF852084 OOB851982:OOB852084 OXX851982:OXX852084 PHT851982:PHT852084 PRP851982:PRP852084 QBL851982:QBL852084 QLH851982:QLH852084 QVD851982:QVD852084 REZ851982:REZ852084 ROV851982:ROV852084 RYR851982:RYR852084 SIN851982:SIN852084 SSJ851982:SSJ852084 TCF851982:TCF852084 TMB851982:TMB852084 TVX851982:TVX852084 UFT851982:UFT852084 UPP851982:UPP852084 UZL851982:UZL852084 VJH851982:VJH852084 VTD851982:VTD852084 WCZ851982:WCZ852084 WMV851982:WMV852084 WWR851982:WWR852084 AJ917518:AJ917620 KF917518:KF917620 UB917518:UB917620 ADX917518:ADX917620 ANT917518:ANT917620 AXP917518:AXP917620 BHL917518:BHL917620 BRH917518:BRH917620 CBD917518:CBD917620 CKZ917518:CKZ917620 CUV917518:CUV917620 DER917518:DER917620 DON917518:DON917620 DYJ917518:DYJ917620 EIF917518:EIF917620 ESB917518:ESB917620 FBX917518:FBX917620 FLT917518:FLT917620 FVP917518:FVP917620 GFL917518:GFL917620 GPH917518:GPH917620 GZD917518:GZD917620 HIZ917518:HIZ917620 HSV917518:HSV917620 ICR917518:ICR917620 IMN917518:IMN917620 IWJ917518:IWJ917620 JGF917518:JGF917620 JQB917518:JQB917620 JZX917518:JZX917620 KJT917518:KJT917620 KTP917518:KTP917620 LDL917518:LDL917620 LNH917518:LNH917620 LXD917518:LXD917620 MGZ917518:MGZ917620 MQV917518:MQV917620 NAR917518:NAR917620 NKN917518:NKN917620 NUJ917518:NUJ917620 OEF917518:OEF917620 OOB917518:OOB917620 OXX917518:OXX917620 PHT917518:PHT917620 PRP917518:PRP917620 QBL917518:QBL917620 QLH917518:QLH917620 QVD917518:QVD917620 REZ917518:REZ917620 ROV917518:ROV917620 RYR917518:RYR917620 SIN917518:SIN917620 SSJ917518:SSJ917620 TCF917518:TCF917620 TMB917518:TMB917620 TVX917518:TVX917620 UFT917518:UFT917620 UPP917518:UPP917620 UZL917518:UZL917620 VJH917518:VJH917620 VTD917518:VTD917620 WCZ917518:WCZ917620 WMV917518:WMV917620 WWR917518:WWR917620 AJ983054:AJ983156 KF983054:KF983156 UB983054:UB983156 ADX983054:ADX983156 ANT983054:ANT983156 AXP983054:AXP983156 BHL983054:BHL983156 BRH983054:BRH983156 CBD983054:CBD983156 CKZ983054:CKZ983156 CUV983054:CUV983156 DER983054:DER983156 DON983054:DON983156 DYJ983054:DYJ983156 EIF983054:EIF983156 ESB983054:ESB983156 FBX983054:FBX983156 FLT983054:FLT983156 FVP983054:FVP983156 GFL983054:GFL983156 GPH983054:GPH983156 GZD983054:GZD983156 HIZ983054:HIZ983156 HSV983054:HSV983156 ICR983054:ICR983156 IMN983054:IMN983156 IWJ983054:IWJ983156 JGF983054:JGF983156 JQB983054:JQB983156 JZX983054:JZX983156 KJT983054:KJT983156 KTP983054:KTP983156 LDL983054:LDL983156 LNH983054:LNH983156 LXD983054:LXD983156 MGZ983054:MGZ983156 MQV983054:MQV983156 NAR983054:NAR983156 NKN983054:NKN983156 NUJ983054:NUJ983156 OEF983054:OEF983156 OOB983054:OOB983156 OXX983054:OXX983156 PHT983054:PHT983156 PRP983054:PRP983156 QBL983054:QBL983156 QLH983054:QLH983156 QVD983054:QVD983156 REZ983054:REZ983156 ROV983054:ROV983156 RYR983054:RYR983156 SIN983054:SIN983156 SSJ983054:SSJ983156 TCF983054:TCF983156 TMB983054:TMB983156 TVX983054:TVX983156 UFT983054:UFT983156 UPP983054:UPP983156 UZL983054:UZL983156 VJH983054:VJH983156 VTD983054:VTD983156 WCZ983054:WCZ983156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5 WWR12:WWR65 WMV12:WMV65 WCZ12:WCZ65 VTD12:VTD65 VJH12:VJH65 UZL12:UZL65 UPP12:UPP65 UFT12:UFT65 TVX12:TVX65 TMB12:TMB65 TCF12:TCF65 SSJ12:SSJ65 SIN12:SIN65 RYR12:RYR65 ROV12:ROV65 REZ12:REZ65 QVD12:QVD65 QLH12:QLH65 QBL12:QBL65 PRP12:PRP65 PHT12:PHT65 OXX12:OXX65 OOB12:OOB65 OEF12:OEF65 NUJ12:NUJ65 NKN12:NKN65 NAR12:NAR65 MQV12:MQV65 MGZ12:MGZ65 LXD12:LXD65 LNH12:LNH65 LDL12:LDL65 KTP12:KTP65 KJT12:KJT65 JZX12:JZX65 JQB12:JQB65 JGF12:JGF65 IWJ12:IWJ65 IMN12:IMN65 ICR12:ICR65 HSV12:HSV65 HIZ12:HIZ65 GZD12:GZD65 GPH12:GPH65 GFL12:GFL65 FVP12:FVP65 FLT12:FLT65 FBX12:FBX65 ESB12:ESB65 EIF12:EIF65 DYJ12:DYJ65 DON12:DON65 DER12:DER65 CUV12:CUV65 CKZ12:CKZ65 CBD12:CBD65 BRH12:BRH65 BHL12:BHL65 AXP12:AXP65 ANT12:ANT65 ADX12:ADX65 UB12:UB65 UB67:UB116" xr:uid="{78EF9990-DE90-4C18-9187-B372674D7DB0}"/>
    <dataValidation allowBlank="1" showInputMessage="1" showErrorMessage="1" prompt="Initial Grade" sqref="WWQ983054:WWQ983156 ADW67:ADW116 ANS67:ANS116 AXO67:AXO116 BHK67:BHK116 BRG67:BRG116 CBC67:CBC116 CKY67:CKY116 CUU67:CUU116 DEQ67:DEQ116 DOM67:DOM116 DYI67:DYI116 EIE67:EIE116 ESA67:ESA116 FBW67:FBW116 FLS67:FLS116 FVO67:FVO116 GFK67:GFK116 GPG67:GPG116 GZC67:GZC116 HIY67:HIY116 HSU67:HSU116 ICQ67:ICQ116 IMM67:IMM116 IWI67:IWI116 JGE67:JGE116 JQA67:JQA116 JZW67:JZW116 KJS67:KJS116 KTO67:KTO116 LDK67:LDK116 LNG67:LNG116 LXC67:LXC116 MGY67:MGY116 MQU67:MQU116 NAQ67:NAQ116 NKM67:NKM116 NUI67:NUI116 OEE67:OEE116 OOA67:OOA116 OXW67:OXW116 PHS67:PHS116 PRO67:PRO116 QBK67:QBK116 QLG67:QLG116 QVC67:QVC116 REY67:REY116 ROU67:ROU116 RYQ67:RYQ116 SIM67:SIM116 SSI67:SSI116 TCE67:TCE116 TMA67:TMA116 TVW67:TVW116 UFS67:UFS116 UPO67:UPO116 UZK67:UZK116 VJG67:VJG116 VTC67:VTC116 WCY67:WCY116 WMU67:WMU116 WWQ67:WWQ116 KE67:KE116 WMU983054:WMU983156 AI65550:AI65652 KE65550:KE65652 UA65550:UA65652 ADW65550:ADW65652 ANS65550:ANS65652 AXO65550:AXO65652 BHK65550:BHK65652 BRG65550:BRG65652 CBC65550:CBC65652 CKY65550:CKY65652 CUU65550:CUU65652 DEQ65550:DEQ65652 DOM65550:DOM65652 DYI65550:DYI65652 EIE65550:EIE65652 ESA65550:ESA65652 FBW65550:FBW65652 FLS65550:FLS65652 FVO65550:FVO65652 GFK65550:GFK65652 GPG65550:GPG65652 GZC65550:GZC65652 HIY65550:HIY65652 HSU65550:HSU65652 ICQ65550:ICQ65652 IMM65550:IMM65652 IWI65550:IWI65652 JGE65550:JGE65652 JQA65550:JQA65652 JZW65550:JZW65652 KJS65550:KJS65652 KTO65550:KTO65652 LDK65550:LDK65652 LNG65550:LNG65652 LXC65550:LXC65652 MGY65550:MGY65652 MQU65550:MQU65652 NAQ65550:NAQ65652 NKM65550:NKM65652 NUI65550:NUI65652 OEE65550:OEE65652 OOA65550:OOA65652 OXW65550:OXW65652 PHS65550:PHS65652 PRO65550:PRO65652 QBK65550:QBK65652 QLG65550:QLG65652 QVC65550:QVC65652 REY65550:REY65652 ROU65550:ROU65652 RYQ65550:RYQ65652 SIM65550:SIM65652 SSI65550:SSI65652 TCE65550:TCE65652 TMA65550:TMA65652 TVW65550:TVW65652 UFS65550:UFS65652 UPO65550:UPO65652 UZK65550:UZK65652 VJG65550:VJG65652 VTC65550:VTC65652 WCY65550:WCY65652 WMU65550:WMU65652 WWQ65550:WWQ65652 AI131086:AI131188 KE131086:KE131188 UA131086:UA131188 ADW131086:ADW131188 ANS131086:ANS131188 AXO131086:AXO131188 BHK131086:BHK131188 BRG131086:BRG131188 CBC131086:CBC131188 CKY131086:CKY131188 CUU131086:CUU131188 DEQ131086:DEQ131188 DOM131086:DOM131188 DYI131086:DYI131188 EIE131086:EIE131188 ESA131086:ESA131188 FBW131086:FBW131188 FLS131086:FLS131188 FVO131086:FVO131188 GFK131086:GFK131188 GPG131086:GPG131188 GZC131086:GZC131188 HIY131086:HIY131188 HSU131086:HSU131188 ICQ131086:ICQ131188 IMM131086:IMM131188 IWI131086:IWI131188 JGE131086:JGE131188 JQA131086:JQA131188 JZW131086:JZW131188 KJS131086:KJS131188 KTO131086:KTO131188 LDK131086:LDK131188 LNG131086:LNG131188 LXC131086:LXC131188 MGY131086:MGY131188 MQU131086:MQU131188 NAQ131086:NAQ131188 NKM131086:NKM131188 NUI131086:NUI131188 OEE131086:OEE131188 OOA131086:OOA131188 OXW131086:OXW131188 PHS131086:PHS131188 PRO131086:PRO131188 QBK131086:QBK131188 QLG131086:QLG131188 QVC131086:QVC131188 REY131086:REY131188 ROU131086:ROU131188 RYQ131086:RYQ131188 SIM131086:SIM131188 SSI131086:SSI131188 TCE131086:TCE131188 TMA131086:TMA131188 TVW131086:TVW131188 UFS131086:UFS131188 UPO131086:UPO131188 UZK131086:UZK131188 VJG131086:VJG131188 VTC131086:VTC131188 WCY131086:WCY131188 WMU131086:WMU131188 WWQ131086:WWQ131188 AI196622:AI196724 KE196622:KE196724 UA196622:UA196724 ADW196622:ADW196724 ANS196622:ANS196724 AXO196622:AXO196724 BHK196622:BHK196724 BRG196622:BRG196724 CBC196622:CBC196724 CKY196622:CKY196724 CUU196622:CUU196724 DEQ196622:DEQ196724 DOM196622:DOM196724 DYI196622:DYI196724 EIE196622:EIE196724 ESA196622:ESA196724 FBW196622:FBW196724 FLS196622:FLS196724 FVO196622:FVO196724 GFK196622:GFK196724 GPG196622:GPG196724 GZC196622:GZC196724 HIY196622:HIY196724 HSU196622:HSU196724 ICQ196622:ICQ196724 IMM196622:IMM196724 IWI196622:IWI196724 JGE196622:JGE196724 JQA196622:JQA196724 JZW196622:JZW196724 KJS196622:KJS196724 KTO196622:KTO196724 LDK196622:LDK196724 LNG196622:LNG196724 LXC196622:LXC196724 MGY196622:MGY196724 MQU196622:MQU196724 NAQ196622:NAQ196724 NKM196622:NKM196724 NUI196622:NUI196724 OEE196622:OEE196724 OOA196622:OOA196724 OXW196622:OXW196724 PHS196622:PHS196724 PRO196622:PRO196724 QBK196622:QBK196724 QLG196622:QLG196724 QVC196622:QVC196724 REY196622:REY196724 ROU196622:ROU196724 RYQ196622:RYQ196724 SIM196622:SIM196724 SSI196622:SSI196724 TCE196622:TCE196724 TMA196622:TMA196724 TVW196622:TVW196724 UFS196622:UFS196724 UPO196622:UPO196724 UZK196622:UZK196724 VJG196622:VJG196724 VTC196622:VTC196724 WCY196622:WCY196724 WMU196622:WMU196724 WWQ196622:WWQ196724 AI262158:AI262260 KE262158:KE262260 UA262158:UA262260 ADW262158:ADW262260 ANS262158:ANS262260 AXO262158:AXO262260 BHK262158:BHK262260 BRG262158:BRG262260 CBC262158:CBC262260 CKY262158:CKY262260 CUU262158:CUU262260 DEQ262158:DEQ262260 DOM262158:DOM262260 DYI262158:DYI262260 EIE262158:EIE262260 ESA262158:ESA262260 FBW262158:FBW262260 FLS262158:FLS262260 FVO262158:FVO262260 GFK262158:GFK262260 GPG262158:GPG262260 GZC262158:GZC262260 HIY262158:HIY262260 HSU262158:HSU262260 ICQ262158:ICQ262260 IMM262158:IMM262260 IWI262158:IWI262260 JGE262158:JGE262260 JQA262158:JQA262260 JZW262158:JZW262260 KJS262158:KJS262260 KTO262158:KTO262260 LDK262158:LDK262260 LNG262158:LNG262260 LXC262158:LXC262260 MGY262158:MGY262260 MQU262158:MQU262260 NAQ262158:NAQ262260 NKM262158:NKM262260 NUI262158:NUI262260 OEE262158:OEE262260 OOA262158:OOA262260 OXW262158:OXW262260 PHS262158:PHS262260 PRO262158:PRO262260 QBK262158:QBK262260 QLG262158:QLG262260 QVC262158:QVC262260 REY262158:REY262260 ROU262158:ROU262260 RYQ262158:RYQ262260 SIM262158:SIM262260 SSI262158:SSI262260 TCE262158:TCE262260 TMA262158:TMA262260 TVW262158:TVW262260 UFS262158:UFS262260 UPO262158:UPO262260 UZK262158:UZK262260 VJG262158:VJG262260 VTC262158:VTC262260 WCY262158:WCY262260 WMU262158:WMU262260 WWQ262158:WWQ262260 AI327694:AI327796 KE327694:KE327796 UA327694:UA327796 ADW327694:ADW327796 ANS327694:ANS327796 AXO327694:AXO327796 BHK327694:BHK327796 BRG327694:BRG327796 CBC327694:CBC327796 CKY327694:CKY327796 CUU327694:CUU327796 DEQ327694:DEQ327796 DOM327694:DOM327796 DYI327694:DYI327796 EIE327694:EIE327796 ESA327694:ESA327796 FBW327694:FBW327796 FLS327694:FLS327796 FVO327694:FVO327796 GFK327694:GFK327796 GPG327694:GPG327796 GZC327694:GZC327796 HIY327694:HIY327796 HSU327694:HSU327796 ICQ327694:ICQ327796 IMM327694:IMM327796 IWI327694:IWI327796 JGE327694:JGE327796 JQA327694:JQA327796 JZW327694:JZW327796 KJS327694:KJS327796 KTO327694:KTO327796 LDK327694:LDK327796 LNG327694:LNG327796 LXC327694:LXC327796 MGY327694:MGY327796 MQU327694:MQU327796 NAQ327694:NAQ327796 NKM327694:NKM327796 NUI327694:NUI327796 OEE327694:OEE327796 OOA327694:OOA327796 OXW327694:OXW327796 PHS327694:PHS327796 PRO327694:PRO327796 QBK327694:QBK327796 QLG327694:QLG327796 QVC327694:QVC327796 REY327694:REY327796 ROU327694:ROU327796 RYQ327694:RYQ327796 SIM327694:SIM327796 SSI327694:SSI327796 TCE327694:TCE327796 TMA327694:TMA327796 TVW327694:TVW327796 UFS327694:UFS327796 UPO327694:UPO327796 UZK327694:UZK327796 VJG327694:VJG327796 VTC327694:VTC327796 WCY327694:WCY327796 WMU327694:WMU327796 WWQ327694:WWQ327796 AI393230:AI393332 KE393230:KE393332 UA393230:UA393332 ADW393230:ADW393332 ANS393230:ANS393332 AXO393230:AXO393332 BHK393230:BHK393332 BRG393230:BRG393332 CBC393230:CBC393332 CKY393230:CKY393332 CUU393230:CUU393332 DEQ393230:DEQ393332 DOM393230:DOM393332 DYI393230:DYI393332 EIE393230:EIE393332 ESA393230:ESA393332 FBW393230:FBW393332 FLS393230:FLS393332 FVO393230:FVO393332 GFK393230:GFK393332 GPG393230:GPG393332 GZC393230:GZC393332 HIY393230:HIY393332 HSU393230:HSU393332 ICQ393230:ICQ393332 IMM393230:IMM393332 IWI393230:IWI393332 JGE393230:JGE393332 JQA393230:JQA393332 JZW393230:JZW393332 KJS393230:KJS393332 KTO393230:KTO393332 LDK393230:LDK393332 LNG393230:LNG393332 LXC393230:LXC393332 MGY393230:MGY393332 MQU393230:MQU393332 NAQ393230:NAQ393332 NKM393230:NKM393332 NUI393230:NUI393332 OEE393230:OEE393332 OOA393230:OOA393332 OXW393230:OXW393332 PHS393230:PHS393332 PRO393230:PRO393332 QBK393230:QBK393332 QLG393230:QLG393332 QVC393230:QVC393332 REY393230:REY393332 ROU393230:ROU393332 RYQ393230:RYQ393332 SIM393230:SIM393332 SSI393230:SSI393332 TCE393230:TCE393332 TMA393230:TMA393332 TVW393230:TVW393332 UFS393230:UFS393332 UPO393230:UPO393332 UZK393230:UZK393332 VJG393230:VJG393332 VTC393230:VTC393332 WCY393230:WCY393332 WMU393230:WMU393332 WWQ393230:WWQ393332 AI458766:AI458868 KE458766:KE458868 UA458766:UA458868 ADW458766:ADW458868 ANS458766:ANS458868 AXO458766:AXO458868 BHK458766:BHK458868 BRG458766:BRG458868 CBC458766:CBC458868 CKY458766:CKY458868 CUU458766:CUU458868 DEQ458766:DEQ458868 DOM458766:DOM458868 DYI458766:DYI458868 EIE458766:EIE458868 ESA458766:ESA458868 FBW458766:FBW458868 FLS458766:FLS458868 FVO458766:FVO458868 GFK458766:GFK458868 GPG458766:GPG458868 GZC458766:GZC458868 HIY458766:HIY458868 HSU458766:HSU458868 ICQ458766:ICQ458868 IMM458766:IMM458868 IWI458766:IWI458868 JGE458766:JGE458868 JQA458766:JQA458868 JZW458766:JZW458868 KJS458766:KJS458868 KTO458766:KTO458868 LDK458766:LDK458868 LNG458766:LNG458868 LXC458766:LXC458868 MGY458766:MGY458868 MQU458766:MQU458868 NAQ458766:NAQ458868 NKM458766:NKM458868 NUI458766:NUI458868 OEE458766:OEE458868 OOA458766:OOA458868 OXW458766:OXW458868 PHS458766:PHS458868 PRO458766:PRO458868 QBK458766:QBK458868 QLG458766:QLG458868 QVC458766:QVC458868 REY458766:REY458868 ROU458766:ROU458868 RYQ458766:RYQ458868 SIM458766:SIM458868 SSI458766:SSI458868 TCE458766:TCE458868 TMA458766:TMA458868 TVW458766:TVW458868 UFS458766:UFS458868 UPO458766:UPO458868 UZK458766:UZK458868 VJG458766:VJG458868 VTC458766:VTC458868 WCY458766:WCY458868 WMU458766:WMU458868 WWQ458766:WWQ458868 AI524302:AI524404 KE524302:KE524404 UA524302:UA524404 ADW524302:ADW524404 ANS524302:ANS524404 AXO524302:AXO524404 BHK524302:BHK524404 BRG524302:BRG524404 CBC524302:CBC524404 CKY524302:CKY524404 CUU524302:CUU524404 DEQ524302:DEQ524404 DOM524302:DOM524404 DYI524302:DYI524404 EIE524302:EIE524404 ESA524302:ESA524404 FBW524302:FBW524404 FLS524302:FLS524404 FVO524302:FVO524404 GFK524302:GFK524404 GPG524302:GPG524404 GZC524302:GZC524404 HIY524302:HIY524404 HSU524302:HSU524404 ICQ524302:ICQ524404 IMM524302:IMM524404 IWI524302:IWI524404 JGE524302:JGE524404 JQA524302:JQA524404 JZW524302:JZW524404 KJS524302:KJS524404 KTO524302:KTO524404 LDK524302:LDK524404 LNG524302:LNG524404 LXC524302:LXC524404 MGY524302:MGY524404 MQU524302:MQU524404 NAQ524302:NAQ524404 NKM524302:NKM524404 NUI524302:NUI524404 OEE524302:OEE524404 OOA524302:OOA524404 OXW524302:OXW524404 PHS524302:PHS524404 PRO524302:PRO524404 QBK524302:QBK524404 QLG524302:QLG524404 QVC524302:QVC524404 REY524302:REY524404 ROU524302:ROU524404 RYQ524302:RYQ524404 SIM524302:SIM524404 SSI524302:SSI524404 TCE524302:TCE524404 TMA524302:TMA524404 TVW524302:TVW524404 UFS524302:UFS524404 UPO524302:UPO524404 UZK524302:UZK524404 VJG524302:VJG524404 VTC524302:VTC524404 WCY524302:WCY524404 WMU524302:WMU524404 WWQ524302:WWQ524404 AI589838:AI589940 KE589838:KE589940 UA589838:UA589940 ADW589838:ADW589940 ANS589838:ANS589940 AXO589838:AXO589940 BHK589838:BHK589940 BRG589838:BRG589940 CBC589838:CBC589940 CKY589838:CKY589940 CUU589838:CUU589940 DEQ589838:DEQ589940 DOM589838:DOM589940 DYI589838:DYI589940 EIE589838:EIE589940 ESA589838:ESA589940 FBW589838:FBW589940 FLS589838:FLS589940 FVO589838:FVO589940 GFK589838:GFK589940 GPG589838:GPG589940 GZC589838:GZC589940 HIY589838:HIY589940 HSU589838:HSU589940 ICQ589838:ICQ589940 IMM589838:IMM589940 IWI589838:IWI589940 JGE589838:JGE589940 JQA589838:JQA589940 JZW589838:JZW589940 KJS589838:KJS589940 KTO589838:KTO589940 LDK589838:LDK589940 LNG589838:LNG589940 LXC589838:LXC589940 MGY589838:MGY589940 MQU589838:MQU589940 NAQ589838:NAQ589940 NKM589838:NKM589940 NUI589838:NUI589940 OEE589838:OEE589940 OOA589838:OOA589940 OXW589838:OXW589940 PHS589838:PHS589940 PRO589838:PRO589940 QBK589838:QBK589940 QLG589838:QLG589940 QVC589838:QVC589940 REY589838:REY589940 ROU589838:ROU589940 RYQ589838:RYQ589940 SIM589838:SIM589940 SSI589838:SSI589940 TCE589838:TCE589940 TMA589838:TMA589940 TVW589838:TVW589940 UFS589838:UFS589940 UPO589838:UPO589940 UZK589838:UZK589940 VJG589838:VJG589940 VTC589838:VTC589940 WCY589838:WCY589940 WMU589838:WMU589940 WWQ589838:WWQ589940 AI655374:AI655476 KE655374:KE655476 UA655374:UA655476 ADW655374:ADW655476 ANS655374:ANS655476 AXO655374:AXO655476 BHK655374:BHK655476 BRG655374:BRG655476 CBC655374:CBC655476 CKY655374:CKY655476 CUU655374:CUU655476 DEQ655374:DEQ655476 DOM655374:DOM655476 DYI655374:DYI655476 EIE655374:EIE655476 ESA655374:ESA655476 FBW655374:FBW655476 FLS655374:FLS655476 FVO655374:FVO655476 GFK655374:GFK655476 GPG655374:GPG655476 GZC655374:GZC655476 HIY655374:HIY655476 HSU655374:HSU655476 ICQ655374:ICQ655476 IMM655374:IMM655476 IWI655374:IWI655476 JGE655374:JGE655476 JQA655374:JQA655476 JZW655374:JZW655476 KJS655374:KJS655476 KTO655374:KTO655476 LDK655374:LDK655476 LNG655374:LNG655476 LXC655374:LXC655476 MGY655374:MGY655476 MQU655374:MQU655476 NAQ655374:NAQ655476 NKM655374:NKM655476 NUI655374:NUI655476 OEE655374:OEE655476 OOA655374:OOA655476 OXW655374:OXW655476 PHS655374:PHS655476 PRO655374:PRO655476 QBK655374:QBK655476 QLG655374:QLG655476 QVC655374:QVC655476 REY655374:REY655476 ROU655374:ROU655476 RYQ655374:RYQ655476 SIM655374:SIM655476 SSI655374:SSI655476 TCE655374:TCE655476 TMA655374:TMA655476 TVW655374:TVW655476 UFS655374:UFS655476 UPO655374:UPO655476 UZK655374:UZK655476 VJG655374:VJG655476 VTC655374:VTC655476 WCY655374:WCY655476 WMU655374:WMU655476 WWQ655374:WWQ655476 AI720910:AI721012 KE720910:KE721012 UA720910:UA721012 ADW720910:ADW721012 ANS720910:ANS721012 AXO720910:AXO721012 BHK720910:BHK721012 BRG720910:BRG721012 CBC720910:CBC721012 CKY720910:CKY721012 CUU720910:CUU721012 DEQ720910:DEQ721012 DOM720910:DOM721012 DYI720910:DYI721012 EIE720910:EIE721012 ESA720910:ESA721012 FBW720910:FBW721012 FLS720910:FLS721012 FVO720910:FVO721012 GFK720910:GFK721012 GPG720910:GPG721012 GZC720910:GZC721012 HIY720910:HIY721012 HSU720910:HSU721012 ICQ720910:ICQ721012 IMM720910:IMM721012 IWI720910:IWI721012 JGE720910:JGE721012 JQA720910:JQA721012 JZW720910:JZW721012 KJS720910:KJS721012 KTO720910:KTO721012 LDK720910:LDK721012 LNG720910:LNG721012 LXC720910:LXC721012 MGY720910:MGY721012 MQU720910:MQU721012 NAQ720910:NAQ721012 NKM720910:NKM721012 NUI720910:NUI721012 OEE720910:OEE721012 OOA720910:OOA721012 OXW720910:OXW721012 PHS720910:PHS721012 PRO720910:PRO721012 QBK720910:QBK721012 QLG720910:QLG721012 QVC720910:QVC721012 REY720910:REY721012 ROU720910:ROU721012 RYQ720910:RYQ721012 SIM720910:SIM721012 SSI720910:SSI721012 TCE720910:TCE721012 TMA720910:TMA721012 TVW720910:TVW721012 UFS720910:UFS721012 UPO720910:UPO721012 UZK720910:UZK721012 VJG720910:VJG721012 VTC720910:VTC721012 WCY720910:WCY721012 WMU720910:WMU721012 WWQ720910:WWQ721012 AI786446:AI786548 KE786446:KE786548 UA786446:UA786548 ADW786446:ADW786548 ANS786446:ANS786548 AXO786446:AXO786548 BHK786446:BHK786548 BRG786446:BRG786548 CBC786446:CBC786548 CKY786446:CKY786548 CUU786446:CUU786548 DEQ786446:DEQ786548 DOM786446:DOM786548 DYI786446:DYI786548 EIE786446:EIE786548 ESA786446:ESA786548 FBW786446:FBW786548 FLS786446:FLS786548 FVO786446:FVO786548 GFK786446:GFK786548 GPG786446:GPG786548 GZC786446:GZC786548 HIY786446:HIY786548 HSU786446:HSU786548 ICQ786446:ICQ786548 IMM786446:IMM786548 IWI786446:IWI786548 JGE786446:JGE786548 JQA786446:JQA786548 JZW786446:JZW786548 KJS786446:KJS786548 KTO786446:KTO786548 LDK786446:LDK786548 LNG786446:LNG786548 LXC786446:LXC786548 MGY786446:MGY786548 MQU786446:MQU786548 NAQ786446:NAQ786548 NKM786446:NKM786548 NUI786446:NUI786548 OEE786446:OEE786548 OOA786446:OOA786548 OXW786446:OXW786548 PHS786446:PHS786548 PRO786446:PRO786548 QBK786446:QBK786548 QLG786446:QLG786548 QVC786446:QVC786548 REY786446:REY786548 ROU786446:ROU786548 RYQ786446:RYQ786548 SIM786446:SIM786548 SSI786446:SSI786548 TCE786446:TCE786548 TMA786446:TMA786548 TVW786446:TVW786548 UFS786446:UFS786548 UPO786446:UPO786548 UZK786446:UZK786548 VJG786446:VJG786548 VTC786446:VTC786548 WCY786446:WCY786548 WMU786446:WMU786548 WWQ786446:WWQ786548 AI851982:AI852084 KE851982:KE852084 UA851982:UA852084 ADW851982:ADW852084 ANS851982:ANS852084 AXO851982:AXO852084 BHK851982:BHK852084 BRG851982:BRG852084 CBC851982:CBC852084 CKY851982:CKY852084 CUU851982:CUU852084 DEQ851982:DEQ852084 DOM851982:DOM852084 DYI851982:DYI852084 EIE851982:EIE852084 ESA851982:ESA852084 FBW851982:FBW852084 FLS851982:FLS852084 FVO851982:FVO852084 GFK851982:GFK852084 GPG851982:GPG852084 GZC851982:GZC852084 HIY851982:HIY852084 HSU851982:HSU852084 ICQ851982:ICQ852084 IMM851982:IMM852084 IWI851982:IWI852084 JGE851982:JGE852084 JQA851982:JQA852084 JZW851982:JZW852084 KJS851982:KJS852084 KTO851982:KTO852084 LDK851982:LDK852084 LNG851982:LNG852084 LXC851982:LXC852084 MGY851982:MGY852084 MQU851982:MQU852084 NAQ851982:NAQ852084 NKM851982:NKM852084 NUI851982:NUI852084 OEE851982:OEE852084 OOA851982:OOA852084 OXW851982:OXW852084 PHS851982:PHS852084 PRO851982:PRO852084 QBK851982:QBK852084 QLG851982:QLG852084 QVC851982:QVC852084 REY851982:REY852084 ROU851982:ROU852084 RYQ851982:RYQ852084 SIM851982:SIM852084 SSI851982:SSI852084 TCE851982:TCE852084 TMA851982:TMA852084 TVW851982:TVW852084 UFS851982:UFS852084 UPO851982:UPO852084 UZK851982:UZK852084 VJG851982:VJG852084 VTC851982:VTC852084 WCY851982:WCY852084 WMU851982:WMU852084 WWQ851982:WWQ852084 AI917518:AI917620 KE917518:KE917620 UA917518:UA917620 ADW917518:ADW917620 ANS917518:ANS917620 AXO917518:AXO917620 BHK917518:BHK917620 BRG917518:BRG917620 CBC917518:CBC917620 CKY917518:CKY917620 CUU917518:CUU917620 DEQ917518:DEQ917620 DOM917518:DOM917620 DYI917518:DYI917620 EIE917518:EIE917620 ESA917518:ESA917620 FBW917518:FBW917620 FLS917518:FLS917620 FVO917518:FVO917620 GFK917518:GFK917620 GPG917518:GPG917620 GZC917518:GZC917620 HIY917518:HIY917620 HSU917518:HSU917620 ICQ917518:ICQ917620 IMM917518:IMM917620 IWI917518:IWI917620 JGE917518:JGE917620 JQA917518:JQA917620 JZW917518:JZW917620 KJS917518:KJS917620 KTO917518:KTO917620 LDK917518:LDK917620 LNG917518:LNG917620 LXC917518:LXC917620 MGY917518:MGY917620 MQU917518:MQU917620 NAQ917518:NAQ917620 NKM917518:NKM917620 NUI917518:NUI917620 OEE917518:OEE917620 OOA917518:OOA917620 OXW917518:OXW917620 PHS917518:PHS917620 PRO917518:PRO917620 QBK917518:QBK917620 QLG917518:QLG917620 QVC917518:QVC917620 REY917518:REY917620 ROU917518:ROU917620 RYQ917518:RYQ917620 SIM917518:SIM917620 SSI917518:SSI917620 TCE917518:TCE917620 TMA917518:TMA917620 TVW917518:TVW917620 UFS917518:UFS917620 UPO917518:UPO917620 UZK917518:UZK917620 VJG917518:VJG917620 VTC917518:VTC917620 WCY917518:WCY917620 WMU917518:WMU917620 WWQ917518:WWQ917620 AI983054:AI983156 KE983054:KE983156 UA983054:UA983156 ADW983054:ADW983156 ANS983054:ANS983156 AXO983054:AXO983156 BHK983054:BHK983156 BRG983054:BRG983156 CBC983054:CBC983156 CKY983054:CKY983156 CUU983054:CUU983156 DEQ983054:DEQ983156 DOM983054:DOM983156 DYI983054:DYI983156 EIE983054:EIE983156 ESA983054:ESA983156 FBW983054:FBW983156 FLS983054:FLS983156 FVO983054:FVO983156 GFK983054:GFK983156 GPG983054:GPG983156 GZC983054:GZC983156 HIY983054:HIY983156 HSU983054:HSU983156 ICQ983054:ICQ983156 IMM983054:IMM983156 IWI983054:IWI983156 JGE983054:JGE983156 JQA983054:JQA983156 JZW983054:JZW983156 KJS983054:KJS983156 KTO983054:KTO983156 LDK983054:LDK983156 LNG983054:LNG983156 LXC983054:LXC983156 MGY983054:MGY983156 MQU983054:MQU983156 NAQ983054:NAQ983156 NKM983054:NKM983156 NUI983054:NUI983156 OEE983054:OEE983156 OOA983054:OOA983156 OXW983054:OXW983156 PHS983054:PHS983156 PRO983054:PRO983156 QBK983054:QBK983156 QLG983054:QLG983156 QVC983054:QVC983156 REY983054:REY983156 ROU983054:ROU983156 RYQ983054:RYQ983156 SIM983054:SIM983156 SSI983054:SSI983156 TCE983054:TCE983156 TMA983054:TMA983156 TVW983054:TVW983156 UFS983054:UFS983156 UPO983054:UPO983156 UZK983054:UZK983156 VJG983054:VJG983156 VTC983054:VTC983156 WCY983054:WCY983156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5 WWQ12:WWQ65 WMU12:WMU65 WCY12:WCY65 VTC12:VTC65 VJG12:VJG65 UZK12:UZK65 UPO12:UPO65 UFS12:UFS65 TVW12:TVW65 TMA12:TMA65 TCE12:TCE65 SSI12:SSI65 SIM12:SIM65 RYQ12:RYQ65 ROU12:ROU65 REY12:REY65 QVC12:QVC65 QLG12:QLG65 QBK12:QBK65 PRO12:PRO65 PHS12:PHS65 OXW12:OXW65 OOA12:OOA65 OEE12:OEE65 NUI12:NUI65 NKM12:NKM65 NAQ12:NAQ65 MQU12:MQU65 MGY12:MGY65 LXC12:LXC65 LNG12:LNG65 LDK12:LDK65 KTO12:KTO65 KJS12:KJS65 JZW12:JZW65 JQA12:JQA65 JGE12:JGE65 IWI12:IWI65 IMM12:IMM65 ICQ12:ICQ65 HSU12:HSU65 HIY12:HIY65 GZC12:GZC65 GPG12:GPG65 GFK12:GFK65 FVO12:FVO65 FLS12:FLS65 FBW12:FBW65 ESA12:ESA65 EIE12:EIE65 DYI12:DYI65 DOM12:DOM65 DEQ12:DEQ65 CUU12:CUU65 CKY12:CKY65 CBC12:CBC65 BRG12:BRG65 BHK12:BHK65 AXO12:AXO65 ANS12:ANS65 ADW12:ADW65 UA12:UA65 UA67:UA116" xr:uid="{618080FE-FAE8-4DFC-AE85-11E399FA5688}"/>
    <dataValidation allowBlank="1" showInputMessage="1" showErrorMessage="1" prompt="Quarterly Assessment Weighted Score" sqref="WWP983054:WWP983156 ADV67:ADV116 ANR67:ANR116 AXN67:AXN116 BHJ67:BHJ116 BRF67:BRF116 CBB67:CBB116 CKX67:CKX116 CUT67:CUT116 DEP67:DEP116 DOL67:DOL116 DYH67:DYH116 EID67:EID116 ERZ67:ERZ116 FBV67:FBV116 FLR67:FLR116 FVN67:FVN116 GFJ67:GFJ116 GPF67:GPF116 GZB67:GZB116 HIX67:HIX116 HST67:HST116 ICP67:ICP116 IML67:IML116 IWH67:IWH116 JGD67:JGD116 JPZ67:JPZ116 JZV67:JZV116 KJR67:KJR116 KTN67:KTN116 LDJ67:LDJ116 LNF67:LNF116 LXB67:LXB116 MGX67:MGX116 MQT67:MQT116 NAP67:NAP116 NKL67:NKL116 NUH67:NUH116 OED67:OED116 ONZ67:ONZ116 OXV67:OXV116 PHR67:PHR116 PRN67:PRN116 QBJ67:QBJ116 QLF67:QLF116 QVB67:QVB116 REX67:REX116 ROT67:ROT116 RYP67:RYP116 SIL67:SIL116 SSH67:SSH116 TCD67:TCD116 TLZ67:TLZ116 TVV67:TVV116 UFR67:UFR116 UPN67:UPN116 UZJ67:UZJ116 VJF67:VJF116 VTB67:VTB116 WCX67:WCX116 WMT67:WMT116 WWP67:WWP116 KD67:KD116 WMT983054:WMT983156 AH65550:AH65652 KD65550:KD65652 TZ65550:TZ65652 ADV65550:ADV65652 ANR65550:ANR65652 AXN65550:AXN65652 BHJ65550:BHJ65652 BRF65550:BRF65652 CBB65550:CBB65652 CKX65550:CKX65652 CUT65550:CUT65652 DEP65550:DEP65652 DOL65550:DOL65652 DYH65550:DYH65652 EID65550:EID65652 ERZ65550:ERZ65652 FBV65550:FBV65652 FLR65550:FLR65652 FVN65550:FVN65652 GFJ65550:GFJ65652 GPF65550:GPF65652 GZB65550:GZB65652 HIX65550:HIX65652 HST65550:HST65652 ICP65550:ICP65652 IML65550:IML65652 IWH65550:IWH65652 JGD65550:JGD65652 JPZ65550:JPZ65652 JZV65550:JZV65652 KJR65550:KJR65652 KTN65550:KTN65652 LDJ65550:LDJ65652 LNF65550:LNF65652 LXB65550:LXB65652 MGX65550:MGX65652 MQT65550:MQT65652 NAP65550:NAP65652 NKL65550:NKL65652 NUH65550:NUH65652 OED65550:OED65652 ONZ65550:ONZ65652 OXV65550:OXV65652 PHR65550:PHR65652 PRN65550:PRN65652 QBJ65550:QBJ65652 QLF65550:QLF65652 QVB65550:QVB65652 REX65550:REX65652 ROT65550:ROT65652 RYP65550:RYP65652 SIL65550:SIL65652 SSH65550:SSH65652 TCD65550:TCD65652 TLZ65550:TLZ65652 TVV65550:TVV65652 UFR65550:UFR65652 UPN65550:UPN65652 UZJ65550:UZJ65652 VJF65550:VJF65652 VTB65550:VTB65652 WCX65550:WCX65652 WMT65550:WMT65652 WWP65550:WWP65652 AH131086:AH131188 KD131086:KD131188 TZ131086:TZ131188 ADV131086:ADV131188 ANR131086:ANR131188 AXN131086:AXN131188 BHJ131086:BHJ131188 BRF131086:BRF131188 CBB131086:CBB131188 CKX131086:CKX131188 CUT131086:CUT131188 DEP131086:DEP131188 DOL131086:DOL131188 DYH131086:DYH131188 EID131086:EID131188 ERZ131086:ERZ131188 FBV131086:FBV131188 FLR131086:FLR131188 FVN131086:FVN131188 GFJ131086:GFJ131188 GPF131086:GPF131188 GZB131086:GZB131188 HIX131086:HIX131188 HST131086:HST131188 ICP131086:ICP131188 IML131086:IML131188 IWH131086:IWH131188 JGD131086:JGD131188 JPZ131086:JPZ131188 JZV131086:JZV131188 KJR131086:KJR131188 KTN131086:KTN131188 LDJ131086:LDJ131188 LNF131086:LNF131188 LXB131086:LXB131188 MGX131086:MGX131188 MQT131086:MQT131188 NAP131086:NAP131188 NKL131086:NKL131188 NUH131086:NUH131188 OED131086:OED131188 ONZ131086:ONZ131188 OXV131086:OXV131188 PHR131086:PHR131188 PRN131086:PRN131188 QBJ131086:QBJ131188 QLF131086:QLF131188 QVB131086:QVB131188 REX131086:REX131188 ROT131086:ROT131188 RYP131086:RYP131188 SIL131086:SIL131188 SSH131086:SSH131188 TCD131086:TCD131188 TLZ131086:TLZ131188 TVV131086:TVV131188 UFR131086:UFR131188 UPN131086:UPN131188 UZJ131086:UZJ131188 VJF131086:VJF131188 VTB131086:VTB131188 WCX131086:WCX131188 WMT131086:WMT131188 WWP131086:WWP131188 AH196622:AH196724 KD196622:KD196724 TZ196622:TZ196724 ADV196622:ADV196724 ANR196622:ANR196724 AXN196622:AXN196724 BHJ196622:BHJ196724 BRF196622:BRF196724 CBB196622:CBB196724 CKX196622:CKX196724 CUT196622:CUT196724 DEP196622:DEP196724 DOL196622:DOL196724 DYH196622:DYH196724 EID196622:EID196724 ERZ196622:ERZ196724 FBV196622:FBV196724 FLR196622:FLR196724 FVN196622:FVN196724 GFJ196622:GFJ196724 GPF196622:GPF196724 GZB196622:GZB196724 HIX196622:HIX196724 HST196622:HST196724 ICP196622:ICP196724 IML196622:IML196724 IWH196622:IWH196724 JGD196622:JGD196724 JPZ196622:JPZ196724 JZV196622:JZV196724 KJR196622:KJR196724 KTN196622:KTN196724 LDJ196622:LDJ196724 LNF196622:LNF196724 LXB196622:LXB196724 MGX196622:MGX196724 MQT196622:MQT196724 NAP196622:NAP196724 NKL196622:NKL196724 NUH196622:NUH196724 OED196622:OED196724 ONZ196622:ONZ196724 OXV196622:OXV196724 PHR196622:PHR196724 PRN196622:PRN196724 QBJ196622:QBJ196724 QLF196622:QLF196724 QVB196622:QVB196724 REX196622:REX196724 ROT196622:ROT196724 RYP196622:RYP196724 SIL196622:SIL196724 SSH196622:SSH196724 TCD196622:TCD196724 TLZ196622:TLZ196724 TVV196622:TVV196724 UFR196622:UFR196724 UPN196622:UPN196724 UZJ196622:UZJ196724 VJF196622:VJF196724 VTB196622:VTB196724 WCX196622:WCX196724 WMT196622:WMT196724 WWP196622:WWP196724 AH262158:AH262260 KD262158:KD262260 TZ262158:TZ262260 ADV262158:ADV262260 ANR262158:ANR262260 AXN262158:AXN262260 BHJ262158:BHJ262260 BRF262158:BRF262260 CBB262158:CBB262260 CKX262158:CKX262260 CUT262158:CUT262260 DEP262158:DEP262260 DOL262158:DOL262260 DYH262158:DYH262260 EID262158:EID262260 ERZ262158:ERZ262260 FBV262158:FBV262260 FLR262158:FLR262260 FVN262158:FVN262260 GFJ262158:GFJ262260 GPF262158:GPF262260 GZB262158:GZB262260 HIX262158:HIX262260 HST262158:HST262260 ICP262158:ICP262260 IML262158:IML262260 IWH262158:IWH262260 JGD262158:JGD262260 JPZ262158:JPZ262260 JZV262158:JZV262260 KJR262158:KJR262260 KTN262158:KTN262260 LDJ262158:LDJ262260 LNF262158:LNF262260 LXB262158:LXB262260 MGX262158:MGX262260 MQT262158:MQT262260 NAP262158:NAP262260 NKL262158:NKL262260 NUH262158:NUH262260 OED262158:OED262260 ONZ262158:ONZ262260 OXV262158:OXV262260 PHR262158:PHR262260 PRN262158:PRN262260 QBJ262158:QBJ262260 QLF262158:QLF262260 QVB262158:QVB262260 REX262158:REX262260 ROT262158:ROT262260 RYP262158:RYP262260 SIL262158:SIL262260 SSH262158:SSH262260 TCD262158:TCD262260 TLZ262158:TLZ262260 TVV262158:TVV262260 UFR262158:UFR262260 UPN262158:UPN262260 UZJ262158:UZJ262260 VJF262158:VJF262260 VTB262158:VTB262260 WCX262158:WCX262260 WMT262158:WMT262260 WWP262158:WWP262260 AH327694:AH327796 KD327694:KD327796 TZ327694:TZ327796 ADV327694:ADV327796 ANR327694:ANR327796 AXN327694:AXN327796 BHJ327694:BHJ327796 BRF327694:BRF327796 CBB327694:CBB327796 CKX327694:CKX327796 CUT327694:CUT327796 DEP327694:DEP327796 DOL327694:DOL327796 DYH327694:DYH327796 EID327694:EID327796 ERZ327694:ERZ327796 FBV327694:FBV327796 FLR327694:FLR327796 FVN327694:FVN327796 GFJ327694:GFJ327796 GPF327694:GPF327796 GZB327694:GZB327796 HIX327694:HIX327796 HST327694:HST327796 ICP327694:ICP327796 IML327694:IML327796 IWH327694:IWH327796 JGD327694:JGD327796 JPZ327694:JPZ327796 JZV327694:JZV327796 KJR327694:KJR327796 KTN327694:KTN327796 LDJ327694:LDJ327796 LNF327694:LNF327796 LXB327694:LXB327796 MGX327694:MGX327796 MQT327694:MQT327796 NAP327694:NAP327796 NKL327694:NKL327796 NUH327694:NUH327796 OED327694:OED327796 ONZ327694:ONZ327796 OXV327694:OXV327796 PHR327694:PHR327796 PRN327694:PRN327796 QBJ327694:QBJ327796 QLF327694:QLF327796 QVB327694:QVB327796 REX327694:REX327796 ROT327694:ROT327796 RYP327694:RYP327796 SIL327694:SIL327796 SSH327694:SSH327796 TCD327694:TCD327796 TLZ327694:TLZ327796 TVV327694:TVV327796 UFR327694:UFR327796 UPN327694:UPN327796 UZJ327694:UZJ327796 VJF327694:VJF327796 VTB327694:VTB327796 WCX327694:WCX327796 WMT327694:WMT327796 WWP327694:WWP327796 AH393230:AH393332 KD393230:KD393332 TZ393230:TZ393332 ADV393230:ADV393332 ANR393230:ANR393332 AXN393230:AXN393332 BHJ393230:BHJ393332 BRF393230:BRF393332 CBB393230:CBB393332 CKX393230:CKX393332 CUT393230:CUT393332 DEP393230:DEP393332 DOL393230:DOL393332 DYH393230:DYH393332 EID393230:EID393332 ERZ393230:ERZ393332 FBV393230:FBV393332 FLR393230:FLR393332 FVN393230:FVN393332 GFJ393230:GFJ393332 GPF393230:GPF393332 GZB393230:GZB393332 HIX393230:HIX393332 HST393230:HST393332 ICP393230:ICP393332 IML393230:IML393332 IWH393230:IWH393332 JGD393230:JGD393332 JPZ393230:JPZ393332 JZV393230:JZV393332 KJR393230:KJR393332 KTN393230:KTN393332 LDJ393230:LDJ393332 LNF393230:LNF393332 LXB393230:LXB393332 MGX393230:MGX393332 MQT393230:MQT393332 NAP393230:NAP393332 NKL393230:NKL393332 NUH393230:NUH393332 OED393230:OED393332 ONZ393230:ONZ393332 OXV393230:OXV393332 PHR393230:PHR393332 PRN393230:PRN393332 QBJ393230:QBJ393332 QLF393230:QLF393332 QVB393230:QVB393332 REX393230:REX393332 ROT393230:ROT393332 RYP393230:RYP393332 SIL393230:SIL393332 SSH393230:SSH393332 TCD393230:TCD393332 TLZ393230:TLZ393332 TVV393230:TVV393332 UFR393230:UFR393332 UPN393230:UPN393332 UZJ393230:UZJ393332 VJF393230:VJF393332 VTB393230:VTB393332 WCX393230:WCX393332 WMT393230:WMT393332 WWP393230:WWP393332 AH458766:AH458868 KD458766:KD458868 TZ458766:TZ458868 ADV458766:ADV458868 ANR458766:ANR458868 AXN458766:AXN458868 BHJ458766:BHJ458868 BRF458766:BRF458868 CBB458766:CBB458868 CKX458766:CKX458868 CUT458766:CUT458868 DEP458766:DEP458868 DOL458766:DOL458868 DYH458766:DYH458868 EID458766:EID458868 ERZ458766:ERZ458868 FBV458766:FBV458868 FLR458766:FLR458868 FVN458766:FVN458868 GFJ458766:GFJ458868 GPF458766:GPF458868 GZB458766:GZB458868 HIX458766:HIX458868 HST458766:HST458868 ICP458766:ICP458868 IML458766:IML458868 IWH458766:IWH458868 JGD458766:JGD458868 JPZ458766:JPZ458868 JZV458766:JZV458868 KJR458766:KJR458868 KTN458766:KTN458868 LDJ458766:LDJ458868 LNF458766:LNF458868 LXB458766:LXB458868 MGX458766:MGX458868 MQT458766:MQT458868 NAP458766:NAP458868 NKL458766:NKL458868 NUH458766:NUH458868 OED458766:OED458868 ONZ458766:ONZ458868 OXV458766:OXV458868 PHR458766:PHR458868 PRN458766:PRN458868 QBJ458766:QBJ458868 QLF458766:QLF458868 QVB458766:QVB458868 REX458766:REX458868 ROT458766:ROT458868 RYP458766:RYP458868 SIL458766:SIL458868 SSH458766:SSH458868 TCD458766:TCD458868 TLZ458766:TLZ458868 TVV458766:TVV458868 UFR458766:UFR458868 UPN458766:UPN458868 UZJ458766:UZJ458868 VJF458766:VJF458868 VTB458766:VTB458868 WCX458766:WCX458868 WMT458766:WMT458868 WWP458766:WWP458868 AH524302:AH524404 KD524302:KD524404 TZ524302:TZ524404 ADV524302:ADV524404 ANR524302:ANR524404 AXN524302:AXN524404 BHJ524302:BHJ524404 BRF524302:BRF524404 CBB524302:CBB524404 CKX524302:CKX524404 CUT524302:CUT524404 DEP524302:DEP524404 DOL524302:DOL524404 DYH524302:DYH524404 EID524302:EID524404 ERZ524302:ERZ524404 FBV524302:FBV524404 FLR524302:FLR524404 FVN524302:FVN524404 GFJ524302:GFJ524404 GPF524302:GPF524404 GZB524302:GZB524404 HIX524302:HIX524404 HST524302:HST524404 ICP524302:ICP524404 IML524302:IML524404 IWH524302:IWH524404 JGD524302:JGD524404 JPZ524302:JPZ524404 JZV524302:JZV524404 KJR524302:KJR524404 KTN524302:KTN524404 LDJ524302:LDJ524404 LNF524302:LNF524404 LXB524302:LXB524404 MGX524302:MGX524404 MQT524302:MQT524404 NAP524302:NAP524404 NKL524302:NKL524404 NUH524302:NUH524404 OED524302:OED524404 ONZ524302:ONZ524404 OXV524302:OXV524404 PHR524302:PHR524404 PRN524302:PRN524404 QBJ524302:QBJ524404 QLF524302:QLF524404 QVB524302:QVB524404 REX524302:REX524404 ROT524302:ROT524404 RYP524302:RYP524404 SIL524302:SIL524404 SSH524302:SSH524404 TCD524302:TCD524404 TLZ524302:TLZ524404 TVV524302:TVV524404 UFR524302:UFR524404 UPN524302:UPN524404 UZJ524302:UZJ524404 VJF524302:VJF524404 VTB524302:VTB524404 WCX524302:WCX524404 WMT524302:WMT524404 WWP524302:WWP524404 AH589838:AH589940 KD589838:KD589940 TZ589838:TZ589940 ADV589838:ADV589940 ANR589838:ANR589940 AXN589838:AXN589940 BHJ589838:BHJ589940 BRF589838:BRF589940 CBB589838:CBB589940 CKX589838:CKX589940 CUT589838:CUT589940 DEP589838:DEP589940 DOL589838:DOL589940 DYH589838:DYH589940 EID589838:EID589940 ERZ589838:ERZ589940 FBV589838:FBV589940 FLR589838:FLR589940 FVN589838:FVN589940 GFJ589838:GFJ589940 GPF589838:GPF589940 GZB589838:GZB589940 HIX589838:HIX589940 HST589838:HST589940 ICP589838:ICP589940 IML589838:IML589940 IWH589838:IWH589940 JGD589838:JGD589940 JPZ589838:JPZ589940 JZV589838:JZV589940 KJR589838:KJR589940 KTN589838:KTN589940 LDJ589838:LDJ589940 LNF589838:LNF589940 LXB589838:LXB589940 MGX589838:MGX589940 MQT589838:MQT589940 NAP589838:NAP589940 NKL589838:NKL589940 NUH589838:NUH589940 OED589838:OED589940 ONZ589838:ONZ589940 OXV589838:OXV589940 PHR589838:PHR589940 PRN589838:PRN589940 QBJ589838:QBJ589940 QLF589838:QLF589940 QVB589838:QVB589940 REX589838:REX589940 ROT589838:ROT589940 RYP589838:RYP589940 SIL589838:SIL589940 SSH589838:SSH589940 TCD589838:TCD589940 TLZ589838:TLZ589940 TVV589838:TVV589940 UFR589838:UFR589940 UPN589838:UPN589940 UZJ589838:UZJ589940 VJF589838:VJF589940 VTB589838:VTB589940 WCX589838:WCX589940 WMT589838:WMT589940 WWP589838:WWP589940 AH655374:AH655476 KD655374:KD655476 TZ655374:TZ655476 ADV655374:ADV655476 ANR655374:ANR655476 AXN655374:AXN655476 BHJ655374:BHJ655476 BRF655374:BRF655476 CBB655374:CBB655476 CKX655374:CKX655476 CUT655374:CUT655476 DEP655374:DEP655476 DOL655374:DOL655476 DYH655374:DYH655476 EID655374:EID655476 ERZ655374:ERZ655476 FBV655374:FBV655476 FLR655374:FLR655476 FVN655374:FVN655476 GFJ655374:GFJ655476 GPF655374:GPF655476 GZB655374:GZB655476 HIX655374:HIX655476 HST655374:HST655476 ICP655374:ICP655476 IML655374:IML655476 IWH655374:IWH655476 JGD655374:JGD655476 JPZ655374:JPZ655476 JZV655374:JZV655476 KJR655374:KJR655476 KTN655374:KTN655476 LDJ655374:LDJ655476 LNF655374:LNF655476 LXB655374:LXB655476 MGX655374:MGX655476 MQT655374:MQT655476 NAP655374:NAP655476 NKL655374:NKL655476 NUH655374:NUH655476 OED655374:OED655476 ONZ655374:ONZ655476 OXV655374:OXV655476 PHR655374:PHR655476 PRN655374:PRN655476 QBJ655374:QBJ655476 QLF655374:QLF655476 QVB655374:QVB655476 REX655374:REX655476 ROT655374:ROT655476 RYP655374:RYP655476 SIL655374:SIL655476 SSH655374:SSH655476 TCD655374:TCD655476 TLZ655374:TLZ655476 TVV655374:TVV655476 UFR655374:UFR655476 UPN655374:UPN655476 UZJ655374:UZJ655476 VJF655374:VJF655476 VTB655374:VTB655476 WCX655374:WCX655476 WMT655374:WMT655476 WWP655374:WWP655476 AH720910:AH721012 KD720910:KD721012 TZ720910:TZ721012 ADV720910:ADV721012 ANR720910:ANR721012 AXN720910:AXN721012 BHJ720910:BHJ721012 BRF720910:BRF721012 CBB720910:CBB721012 CKX720910:CKX721012 CUT720910:CUT721012 DEP720910:DEP721012 DOL720910:DOL721012 DYH720910:DYH721012 EID720910:EID721012 ERZ720910:ERZ721012 FBV720910:FBV721012 FLR720910:FLR721012 FVN720910:FVN721012 GFJ720910:GFJ721012 GPF720910:GPF721012 GZB720910:GZB721012 HIX720910:HIX721012 HST720910:HST721012 ICP720910:ICP721012 IML720910:IML721012 IWH720910:IWH721012 JGD720910:JGD721012 JPZ720910:JPZ721012 JZV720910:JZV721012 KJR720910:KJR721012 KTN720910:KTN721012 LDJ720910:LDJ721012 LNF720910:LNF721012 LXB720910:LXB721012 MGX720910:MGX721012 MQT720910:MQT721012 NAP720910:NAP721012 NKL720910:NKL721012 NUH720910:NUH721012 OED720910:OED721012 ONZ720910:ONZ721012 OXV720910:OXV721012 PHR720910:PHR721012 PRN720910:PRN721012 QBJ720910:QBJ721012 QLF720910:QLF721012 QVB720910:QVB721012 REX720910:REX721012 ROT720910:ROT721012 RYP720910:RYP721012 SIL720910:SIL721012 SSH720910:SSH721012 TCD720910:TCD721012 TLZ720910:TLZ721012 TVV720910:TVV721012 UFR720910:UFR721012 UPN720910:UPN721012 UZJ720910:UZJ721012 VJF720910:VJF721012 VTB720910:VTB721012 WCX720910:WCX721012 WMT720910:WMT721012 WWP720910:WWP721012 AH786446:AH786548 KD786446:KD786548 TZ786446:TZ786548 ADV786446:ADV786548 ANR786446:ANR786548 AXN786446:AXN786548 BHJ786446:BHJ786548 BRF786446:BRF786548 CBB786446:CBB786548 CKX786446:CKX786548 CUT786446:CUT786548 DEP786446:DEP786548 DOL786446:DOL786548 DYH786446:DYH786548 EID786446:EID786548 ERZ786446:ERZ786548 FBV786446:FBV786548 FLR786446:FLR786548 FVN786446:FVN786548 GFJ786446:GFJ786548 GPF786446:GPF786548 GZB786446:GZB786548 HIX786446:HIX786548 HST786446:HST786548 ICP786446:ICP786548 IML786446:IML786548 IWH786446:IWH786548 JGD786446:JGD786548 JPZ786446:JPZ786548 JZV786446:JZV786548 KJR786446:KJR786548 KTN786446:KTN786548 LDJ786446:LDJ786548 LNF786446:LNF786548 LXB786446:LXB786548 MGX786446:MGX786548 MQT786446:MQT786548 NAP786446:NAP786548 NKL786446:NKL786548 NUH786446:NUH786548 OED786446:OED786548 ONZ786446:ONZ786548 OXV786446:OXV786548 PHR786446:PHR786548 PRN786446:PRN786548 QBJ786446:QBJ786548 QLF786446:QLF786548 QVB786446:QVB786548 REX786446:REX786548 ROT786446:ROT786548 RYP786446:RYP786548 SIL786446:SIL786548 SSH786446:SSH786548 TCD786446:TCD786548 TLZ786446:TLZ786548 TVV786446:TVV786548 UFR786446:UFR786548 UPN786446:UPN786548 UZJ786446:UZJ786548 VJF786446:VJF786548 VTB786446:VTB786548 WCX786446:WCX786548 WMT786446:WMT786548 WWP786446:WWP786548 AH851982:AH852084 KD851982:KD852084 TZ851982:TZ852084 ADV851982:ADV852084 ANR851982:ANR852084 AXN851982:AXN852084 BHJ851982:BHJ852084 BRF851982:BRF852084 CBB851982:CBB852084 CKX851982:CKX852084 CUT851982:CUT852084 DEP851982:DEP852084 DOL851982:DOL852084 DYH851982:DYH852084 EID851982:EID852084 ERZ851982:ERZ852084 FBV851982:FBV852084 FLR851982:FLR852084 FVN851982:FVN852084 GFJ851982:GFJ852084 GPF851982:GPF852084 GZB851982:GZB852084 HIX851982:HIX852084 HST851982:HST852084 ICP851982:ICP852084 IML851982:IML852084 IWH851982:IWH852084 JGD851982:JGD852084 JPZ851982:JPZ852084 JZV851982:JZV852084 KJR851982:KJR852084 KTN851982:KTN852084 LDJ851982:LDJ852084 LNF851982:LNF852084 LXB851982:LXB852084 MGX851982:MGX852084 MQT851982:MQT852084 NAP851982:NAP852084 NKL851982:NKL852084 NUH851982:NUH852084 OED851982:OED852084 ONZ851982:ONZ852084 OXV851982:OXV852084 PHR851982:PHR852084 PRN851982:PRN852084 QBJ851982:QBJ852084 QLF851982:QLF852084 QVB851982:QVB852084 REX851982:REX852084 ROT851982:ROT852084 RYP851982:RYP852084 SIL851982:SIL852084 SSH851982:SSH852084 TCD851982:TCD852084 TLZ851982:TLZ852084 TVV851982:TVV852084 UFR851982:UFR852084 UPN851982:UPN852084 UZJ851982:UZJ852084 VJF851982:VJF852084 VTB851982:VTB852084 WCX851982:WCX852084 WMT851982:WMT852084 WWP851982:WWP852084 AH917518:AH917620 KD917518:KD917620 TZ917518:TZ917620 ADV917518:ADV917620 ANR917518:ANR917620 AXN917518:AXN917620 BHJ917518:BHJ917620 BRF917518:BRF917620 CBB917518:CBB917620 CKX917518:CKX917620 CUT917518:CUT917620 DEP917518:DEP917620 DOL917518:DOL917620 DYH917518:DYH917620 EID917518:EID917620 ERZ917518:ERZ917620 FBV917518:FBV917620 FLR917518:FLR917620 FVN917518:FVN917620 GFJ917518:GFJ917620 GPF917518:GPF917620 GZB917518:GZB917620 HIX917518:HIX917620 HST917518:HST917620 ICP917518:ICP917620 IML917518:IML917620 IWH917518:IWH917620 JGD917518:JGD917620 JPZ917518:JPZ917620 JZV917518:JZV917620 KJR917518:KJR917620 KTN917518:KTN917620 LDJ917518:LDJ917620 LNF917518:LNF917620 LXB917518:LXB917620 MGX917518:MGX917620 MQT917518:MQT917620 NAP917518:NAP917620 NKL917518:NKL917620 NUH917518:NUH917620 OED917518:OED917620 ONZ917518:ONZ917620 OXV917518:OXV917620 PHR917518:PHR917620 PRN917518:PRN917620 QBJ917518:QBJ917620 QLF917518:QLF917620 QVB917518:QVB917620 REX917518:REX917620 ROT917518:ROT917620 RYP917518:RYP917620 SIL917518:SIL917620 SSH917518:SSH917620 TCD917518:TCD917620 TLZ917518:TLZ917620 TVV917518:TVV917620 UFR917518:UFR917620 UPN917518:UPN917620 UZJ917518:UZJ917620 VJF917518:VJF917620 VTB917518:VTB917620 WCX917518:WCX917620 WMT917518:WMT917620 WWP917518:WWP917620 AH983054:AH983156 KD983054:KD983156 TZ983054:TZ983156 ADV983054:ADV983156 ANR983054:ANR983156 AXN983054:AXN983156 BHJ983054:BHJ983156 BRF983054:BRF983156 CBB983054:CBB983156 CKX983054:CKX983156 CUT983054:CUT983156 DEP983054:DEP983156 DOL983054:DOL983156 DYH983054:DYH983156 EID983054:EID983156 ERZ983054:ERZ983156 FBV983054:FBV983156 FLR983054:FLR983156 FVN983054:FVN983156 GFJ983054:GFJ983156 GPF983054:GPF983156 GZB983054:GZB983156 HIX983054:HIX983156 HST983054:HST983156 ICP983054:ICP983156 IML983054:IML983156 IWH983054:IWH983156 JGD983054:JGD983156 JPZ983054:JPZ983156 JZV983054:JZV983156 KJR983054:KJR983156 KTN983054:KTN983156 LDJ983054:LDJ983156 LNF983054:LNF983156 LXB983054:LXB983156 MGX983054:MGX983156 MQT983054:MQT983156 NAP983054:NAP983156 NKL983054:NKL983156 NUH983054:NUH983156 OED983054:OED983156 ONZ983054:ONZ983156 OXV983054:OXV983156 PHR983054:PHR983156 PRN983054:PRN983156 QBJ983054:QBJ983156 QLF983054:QLF983156 QVB983054:QVB983156 REX983054:REX983156 ROT983054:ROT983156 RYP983054:RYP983156 SIL983054:SIL983156 SSH983054:SSH983156 TCD983054:TCD983156 TLZ983054:TLZ983156 TVV983054:TVV983156 UFR983054:UFR983156 UPN983054:UPN983156 UZJ983054:UZJ983156 VJF983054:VJF983156 VTB983054:VTB983156 WCX983054:WCX983156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5 WWP12:WWP65 WMT12:WMT65 WCX12:WCX65 VTB12:VTB65 VJF12:VJF65 UZJ12:UZJ65 UPN12:UPN65 UFR12:UFR65 TVV12:TVV65 TLZ12:TLZ65 TCD12:TCD65 SSH12:SSH65 SIL12:SIL65 RYP12:RYP65 ROT12:ROT65 REX12:REX65 QVB12:QVB65 QLF12:QLF65 QBJ12:QBJ65 PRN12:PRN65 PHR12:PHR65 OXV12:OXV65 ONZ12:ONZ65 OED12:OED65 NUH12:NUH65 NKL12:NKL65 NAP12:NAP65 MQT12:MQT65 MGX12:MGX65 LXB12:LXB65 LNF12:LNF65 LDJ12:LDJ65 KTN12:KTN65 KJR12:KJR65 JZV12:JZV65 JPZ12:JPZ65 JGD12:JGD65 IWH12:IWH65 IML12:IML65 ICP12:ICP65 HST12:HST65 HIX12:HIX65 GZB12:GZB65 GPF12:GPF65 GFJ12:GFJ65 FVN12:FVN65 FLR12:FLR65 FBV12:FBV65 ERZ12:ERZ65 EID12:EID65 DYH12:DYH65 DOL12:DOL65 DEP12:DEP65 CUT12:CUT65 CKX12:CKX65 CBB12:CBB65 BRF12:BRF65 BHJ12:BHJ65 AXN12:AXN65 ANR12:ANR65 ADV12:ADV65 TZ12:TZ65 TZ67:TZ116" xr:uid="{CC1FE160-1953-46BE-9F7D-8D7A4486CB96}"/>
    <dataValidation allowBlank="1" showInputMessage="1" showErrorMessage="1" prompt="Quarterly Assessment Percentage Score" sqref="WWO983054:WWO983156 ADU67:ADU116 ANQ67:ANQ116 AXM67:AXM116 BHI67:BHI116 BRE67:BRE116 CBA67:CBA116 CKW67:CKW116 CUS67:CUS116 DEO67:DEO116 DOK67:DOK116 DYG67:DYG116 EIC67:EIC116 ERY67:ERY116 FBU67:FBU116 FLQ67:FLQ116 FVM67:FVM116 GFI67:GFI116 GPE67:GPE116 GZA67:GZA116 HIW67:HIW116 HSS67:HSS116 ICO67:ICO116 IMK67:IMK116 IWG67:IWG116 JGC67:JGC116 JPY67:JPY116 JZU67:JZU116 KJQ67:KJQ116 KTM67:KTM116 LDI67:LDI116 LNE67:LNE116 LXA67:LXA116 MGW67:MGW116 MQS67:MQS116 NAO67:NAO116 NKK67:NKK116 NUG67:NUG116 OEC67:OEC116 ONY67:ONY116 OXU67:OXU116 PHQ67:PHQ116 PRM67:PRM116 QBI67:QBI116 QLE67:QLE116 QVA67:QVA116 REW67:REW116 ROS67:ROS116 RYO67:RYO116 SIK67:SIK116 SSG67:SSG116 TCC67:TCC116 TLY67:TLY116 TVU67:TVU116 UFQ67:UFQ116 UPM67:UPM116 UZI67:UZI116 VJE67:VJE116 VTA67:VTA116 WCW67:WCW116 WMS67:WMS116 WWO67:WWO116 KC67:KC116 WMS983054:WMS983156 AG65550:AG65652 KC65550:KC65652 TY65550:TY65652 ADU65550:ADU65652 ANQ65550:ANQ65652 AXM65550:AXM65652 BHI65550:BHI65652 BRE65550:BRE65652 CBA65550:CBA65652 CKW65550:CKW65652 CUS65550:CUS65652 DEO65550:DEO65652 DOK65550:DOK65652 DYG65550:DYG65652 EIC65550:EIC65652 ERY65550:ERY65652 FBU65550:FBU65652 FLQ65550:FLQ65652 FVM65550:FVM65652 GFI65550:GFI65652 GPE65550:GPE65652 GZA65550:GZA65652 HIW65550:HIW65652 HSS65550:HSS65652 ICO65550:ICO65652 IMK65550:IMK65652 IWG65550:IWG65652 JGC65550:JGC65652 JPY65550:JPY65652 JZU65550:JZU65652 KJQ65550:KJQ65652 KTM65550:KTM65652 LDI65550:LDI65652 LNE65550:LNE65652 LXA65550:LXA65652 MGW65550:MGW65652 MQS65550:MQS65652 NAO65550:NAO65652 NKK65550:NKK65652 NUG65550:NUG65652 OEC65550:OEC65652 ONY65550:ONY65652 OXU65550:OXU65652 PHQ65550:PHQ65652 PRM65550:PRM65652 QBI65550:QBI65652 QLE65550:QLE65652 QVA65550:QVA65652 REW65550:REW65652 ROS65550:ROS65652 RYO65550:RYO65652 SIK65550:SIK65652 SSG65550:SSG65652 TCC65550:TCC65652 TLY65550:TLY65652 TVU65550:TVU65652 UFQ65550:UFQ65652 UPM65550:UPM65652 UZI65550:UZI65652 VJE65550:VJE65652 VTA65550:VTA65652 WCW65550:WCW65652 WMS65550:WMS65652 WWO65550:WWO65652 AG131086:AG131188 KC131086:KC131188 TY131086:TY131188 ADU131086:ADU131188 ANQ131086:ANQ131188 AXM131086:AXM131188 BHI131086:BHI131188 BRE131086:BRE131188 CBA131086:CBA131188 CKW131086:CKW131188 CUS131086:CUS131188 DEO131086:DEO131188 DOK131086:DOK131188 DYG131086:DYG131188 EIC131086:EIC131188 ERY131086:ERY131188 FBU131086:FBU131188 FLQ131086:FLQ131188 FVM131086:FVM131188 GFI131086:GFI131188 GPE131086:GPE131188 GZA131086:GZA131188 HIW131086:HIW131188 HSS131086:HSS131188 ICO131086:ICO131188 IMK131086:IMK131188 IWG131086:IWG131188 JGC131086:JGC131188 JPY131086:JPY131188 JZU131086:JZU131188 KJQ131086:KJQ131188 KTM131086:KTM131188 LDI131086:LDI131188 LNE131086:LNE131188 LXA131086:LXA131188 MGW131086:MGW131188 MQS131086:MQS131188 NAO131086:NAO131188 NKK131086:NKK131188 NUG131086:NUG131188 OEC131086:OEC131188 ONY131086:ONY131188 OXU131086:OXU131188 PHQ131086:PHQ131188 PRM131086:PRM131188 QBI131086:QBI131188 QLE131086:QLE131188 QVA131086:QVA131188 REW131086:REW131188 ROS131086:ROS131188 RYO131086:RYO131188 SIK131086:SIK131188 SSG131086:SSG131188 TCC131086:TCC131188 TLY131086:TLY131188 TVU131086:TVU131188 UFQ131086:UFQ131188 UPM131086:UPM131188 UZI131086:UZI131188 VJE131086:VJE131188 VTA131086:VTA131188 WCW131086:WCW131188 WMS131086:WMS131188 WWO131086:WWO131188 AG196622:AG196724 KC196622:KC196724 TY196622:TY196724 ADU196622:ADU196724 ANQ196622:ANQ196724 AXM196622:AXM196724 BHI196622:BHI196724 BRE196622:BRE196724 CBA196622:CBA196724 CKW196622:CKW196724 CUS196622:CUS196724 DEO196622:DEO196724 DOK196622:DOK196724 DYG196622:DYG196724 EIC196622:EIC196724 ERY196622:ERY196724 FBU196622:FBU196724 FLQ196622:FLQ196724 FVM196622:FVM196724 GFI196622:GFI196724 GPE196622:GPE196724 GZA196622:GZA196724 HIW196622:HIW196724 HSS196622:HSS196724 ICO196622:ICO196724 IMK196622:IMK196724 IWG196622:IWG196724 JGC196622:JGC196724 JPY196622:JPY196724 JZU196622:JZU196724 KJQ196622:KJQ196724 KTM196622:KTM196724 LDI196622:LDI196724 LNE196622:LNE196724 LXA196622:LXA196724 MGW196622:MGW196724 MQS196622:MQS196724 NAO196622:NAO196724 NKK196622:NKK196724 NUG196622:NUG196724 OEC196622:OEC196724 ONY196622:ONY196724 OXU196622:OXU196724 PHQ196622:PHQ196724 PRM196622:PRM196724 QBI196622:QBI196724 QLE196622:QLE196724 QVA196622:QVA196724 REW196622:REW196724 ROS196622:ROS196724 RYO196622:RYO196724 SIK196622:SIK196724 SSG196622:SSG196724 TCC196622:TCC196724 TLY196622:TLY196724 TVU196622:TVU196724 UFQ196622:UFQ196724 UPM196622:UPM196724 UZI196622:UZI196724 VJE196622:VJE196724 VTA196622:VTA196724 WCW196622:WCW196724 WMS196622:WMS196724 WWO196622:WWO196724 AG262158:AG262260 KC262158:KC262260 TY262158:TY262260 ADU262158:ADU262260 ANQ262158:ANQ262260 AXM262158:AXM262260 BHI262158:BHI262260 BRE262158:BRE262260 CBA262158:CBA262260 CKW262158:CKW262260 CUS262158:CUS262260 DEO262158:DEO262260 DOK262158:DOK262260 DYG262158:DYG262260 EIC262158:EIC262260 ERY262158:ERY262260 FBU262158:FBU262260 FLQ262158:FLQ262260 FVM262158:FVM262260 GFI262158:GFI262260 GPE262158:GPE262260 GZA262158:GZA262260 HIW262158:HIW262260 HSS262158:HSS262260 ICO262158:ICO262260 IMK262158:IMK262260 IWG262158:IWG262260 JGC262158:JGC262260 JPY262158:JPY262260 JZU262158:JZU262260 KJQ262158:KJQ262260 KTM262158:KTM262260 LDI262158:LDI262260 LNE262158:LNE262260 LXA262158:LXA262260 MGW262158:MGW262260 MQS262158:MQS262260 NAO262158:NAO262260 NKK262158:NKK262260 NUG262158:NUG262260 OEC262158:OEC262260 ONY262158:ONY262260 OXU262158:OXU262260 PHQ262158:PHQ262260 PRM262158:PRM262260 QBI262158:QBI262260 QLE262158:QLE262260 QVA262158:QVA262260 REW262158:REW262260 ROS262158:ROS262260 RYO262158:RYO262260 SIK262158:SIK262260 SSG262158:SSG262260 TCC262158:TCC262260 TLY262158:TLY262260 TVU262158:TVU262260 UFQ262158:UFQ262260 UPM262158:UPM262260 UZI262158:UZI262260 VJE262158:VJE262260 VTA262158:VTA262260 WCW262158:WCW262260 WMS262158:WMS262260 WWO262158:WWO262260 AG327694:AG327796 KC327694:KC327796 TY327694:TY327796 ADU327694:ADU327796 ANQ327694:ANQ327796 AXM327694:AXM327796 BHI327694:BHI327796 BRE327694:BRE327796 CBA327694:CBA327796 CKW327694:CKW327796 CUS327694:CUS327796 DEO327694:DEO327796 DOK327694:DOK327796 DYG327694:DYG327796 EIC327694:EIC327796 ERY327694:ERY327796 FBU327694:FBU327796 FLQ327694:FLQ327796 FVM327694:FVM327796 GFI327694:GFI327796 GPE327694:GPE327796 GZA327694:GZA327796 HIW327694:HIW327796 HSS327694:HSS327796 ICO327694:ICO327796 IMK327694:IMK327796 IWG327694:IWG327796 JGC327694:JGC327796 JPY327694:JPY327796 JZU327694:JZU327796 KJQ327694:KJQ327796 KTM327694:KTM327796 LDI327694:LDI327796 LNE327694:LNE327796 LXA327694:LXA327796 MGW327694:MGW327796 MQS327694:MQS327796 NAO327694:NAO327796 NKK327694:NKK327796 NUG327694:NUG327796 OEC327694:OEC327796 ONY327694:ONY327796 OXU327694:OXU327796 PHQ327694:PHQ327796 PRM327694:PRM327796 QBI327694:QBI327796 QLE327694:QLE327796 QVA327694:QVA327796 REW327694:REW327796 ROS327694:ROS327796 RYO327694:RYO327796 SIK327694:SIK327796 SSG327694:SSG327796 TCC327694:TCC327796 TLY327694:TLY327796 TVU327694:TVU327796 UFQ327694:UFQ327796 UPM327694:UPM327796 UZI327694:UZI327796 VJE327694:VJE327796 VTA327694:VTA327796 WCW327694:WCW327796 WMS327694:WMS327796 WWO327694:WWO327796 AG393230:AG393332 KC393230:KC393332 TY393230:TY393332 ADU393230:ADU393332 ANQ393230:ANQ393332 AXM393230:AXM393332 BHI393230:BHI393332 BRE393230:BRE393332 CBA393230:CBA393332 CKW393230:CKW393332 CUS393230:CUS393332 DEO393230:DEO393332 DOK393230:DOK393332 DYG393230:DYG393332 EIC393230:EIC393332 ERY393230:ERY393332 FBU393230:FBU393332 FLQ393230:FLQ393332 FVM393230:FVM393332 GFI393230:GFI393332 GPE393230:GPE393332 GZA393230:GZA393332 HIW393230:HIW393332 HSS393230:HSS393332 ICO393230:ICO393332 IMK393230:IMK393332 IWG393230:IWG393332 JGC393230:JGC393332 JPY393230:JPY393332 JZU393230:JZU393332 KJQ393230:KJQ393332 KTM393230:KTM393332 LDI393230:LDI393332 LNE393230:LNE393332 LXA393230:LXA393332 MGW393230:MGW393332 MQS393230:MQS393332 NAO393230:NAO393332 NKK393230:NKK393332 NUG393230:NUG393332 OEC393230:OEC393332 ONY393230:ONY393332 OXU393230:OXU393332 PHQ393230:PHQ393332 PRM393230:PRM393332 QBI393230:QBI393332 QLE393230:QLE393332 QVA393230:QVA393332 REW393230:REW393332 ROS393230:ROS393332 RYO393230:RYO393332 SIK393230:SIK393332 SSG393230:SSG393332 TCC393230:TCC393332 TLY393230:TLY393332 TVU393230:TVU393332 UFQ393230:UFQ393332 UPM393230:UPM393332 UZI393230:UZI393332 VJE393230:VJE393332 VTA393230:VTA393332 WCW393230:WCW393332 WMS393230:WMS393332 WWO393230:WWO393332 AG458766:AG458868 KC458766:KC458868 TY458766:TY458868 ADU458766:ADU458868 ANQ458766:ANQ458868 AXM458766:AXM458868 BHI458766:BHI458868 BRE458766:BRE458868 CBA458766:CBA458868 CKW458766:CKW458868 CUS458766:CUS458868 DEO458766:DEO458868 DOK458766:DOK458868 DYG458766:DYG458868 EIC458766:EIC458868 ERY458766:ERY458868 FBU458766:FBU458868 FLQ458766:FLQ458868 FVM458766:FVM458868 GFI458766:GFI458868 GPE458766:GPE458868 GZA458766:GZA458868 HIW458766:HIW458868 HSS458766:HSS458868 ICO458766:ICO458868 IMK458766:IMK458868 IWG458766:IWG458868 JGC458766:JGC458868 JPY458766:JPY458868 JZU458766:JZU458868 KJQ458766:KJQ458868 KTM458766:KTM458868 LDI458766:LDI458868 LNE458766:LNE458868 LXA458766:LXA458868 MGW458766:MGW458868 MQS458766:MQS458868 NAO458766:NAO458868 NKK458766:NKK458868 NUG458766:NUG458868 OEC458766:OEC458868 ONY458766:ONY458868 OXU458766:OXU458868 PHQ458766:PHQ458868 PRM458766:PRM458868 QBI458766:QBI458868 QLE458766:QLE458868 QVA458766:QVA458868 REW458766:REW458868 ROS458766:ROS458868 RYO458766:RYO458868 SIK458766:SIK458868 SSG458766:SSG458868 TCC458766:TCC458868 TLY458766:TLY458868 TVU458766:TVU458868 UFQ458766:UFQ458868 UPM458766:UPM458868 UZI458766:UZI458868 VJE458766:VJE458868 VTA458766:VTA458868 WCW458766:WCW458868 WMS458766:WMS458868 WWO458766:WWO458868 AG524302:AG524404 KC524302:KC524404 TY524302:TY524404 ADU524302:ADU524404 ANQ524302:ANQ524404 AXM524302:AXM524404 BHI524302:BHI524404 BRE524302:BRE524404 CBA524302:CBA524404 CKW524302:CKW524404 CUS524302:CUS524404 DEO524302:DEO524404 DOK524302:DOK524404 DYG524302:DYG524404 EIC524302:EIC524404 ERY524302:ERY524404 FBU524302:FBU524404 FLQ524302:FLQ524404 FVM524302:FVM524404 GFI524302:GFI524404 GPE524302:GPE524404 GZA524302:GZA524404 HIW524302:HIW524404 HSS524302:HSS524404 ICO524302:ICO524404 IMK524302:IMK524404 IWG524302:IWG524404 JGC524302:JGC524404 JPY524302:JPY524404 JZU524302:JZU524404 KJQ524302:KJQ524404 KTM524302:KTM524404 LDI524302:LDI524404 LNE524302:LNE524404 LXA524302:LXA524404 MGW524302:MGW524404 MQS524302:MQS524404 NAO524302:NAO524404 NKK524302:NKK524404 NUG524302:NUG524404 OEC524302:OEC524404 ONY524302:ONY524404 OXU524302:OXU524404 PHQ524302:PHQ524404 PRM524302:PRM524404 QBI524302:QBI524404 QLE524302:QLE524404 QVA524302:QVA524404 REW524302:REW524404 ROS524302:ROS524404 RYO524302:RYO524404 SIK524302:SIK524404 SSG524302:SSG524404 TCC524302:TCC524404 TLY524302:TLY524404 TVU524302:TVU524404 UFQ524302:UFQ524404 UPM524302:UPM524404 UZI524302:UZI524404 VJE524302:VJE524404 VTA524302:VTA524404 WCW524302:WCW524404 WMS524302:WMS524404 WWO524302:WWO524404 AG589838:AG589940 KC589838:KC589940 TY589838:TY589940 ADU589838:ADU589940 ANQ589838:ANQ589940 AXM589838:AXM589940 BHI589838:BHI589940 BRE589838:BRE589940 CBA589838:CBA589940 CKW589838:CKW589940 CUS589838:CUS589940 DEO589838:DEO589940 DOK589838:DOK589940 DYG589838:DYG589940 EIC589838:EIC589940 ERY589838:ERY589940 FBU589838:FBU589940 FLQ589838:FLQ589940 FVM589838:FVM589940 GFI589838:GFI589940 GPE589838:GPE589940 GZA589838:GZA589940 HIW589838:HIW589940 HSS589838:HSS589940 ICO589838:ICO589940 IMK589838:IMK589940 IWG589838:IWG589940 JGC589838:JGC589940 JPY589838:JPY589940 JZU589838:JZU589940 KJQ589838:KJQ589940 KTM589838:KTM589940 LDI589838:LDI589940 LNE589838:LNE589940 LXA589838:LXA589940 MGW589838:MGW589940 MQS589838:MQS589940 NAO589838:NAO589940 NKK589838:NKK589940 NUG589838:NUG589940 OEC589838:OEC589940 ONY589838:ONY589940 OXU589838:OXU589940 PHQ589838:PHQ589940 PRM589838:PRM589940 QBI589838:QBI589940 QLE589838:QLE589940 QVA589838:QVA589940 REW589838:REW589940 ROS589838:ROS589940 RYO589838:RYO589940 SIK589838:SIK589940 SSG589838:SSG589940 TCC589838:TCC589940 TLY589838:TLY589940 TVU589838:TVU589940 UFQ589838:UFQ589940 UPM589838:UPM589940 UZI589838:UZI589940 VJE589838:VJE589940 VTA589838:VTA589940 WCW589838:WCW589940 WMS589838:WMS589940 WWO589838:WWO589940 AG655374:AG655476 KC655374:KC655476 TY655374:TY655476 ADU655374:ADU655476 ANQ655374:ANQ655476 AXM655374:AXM655476 BHI655374:BHI655476 BRE655374:BRE655476 CBA655374:CBA655476 CKW655374:CKW655476 CUS655374:CUS655476 DEO655374:DEO655476 DOK655374:DOK655476 DYG655374:DYG655476 EIC655374:EIC655476 ERY655374:ERY655476 FBU655374:FBU655476 FLQ655374:FLQ655476 FVM655374:FVM655476 GFI655374:GFI655476 GPE655374:GPE655476 GZA655374:GZA655476 HIW655374:HIW655476 HSS655374:HSS655476 ICO655374:ICO655476 IMK655374:IMK655476 IWG655374:IWG655476 JGC655374:JGC655476 JPY655374:JPY655476 JZU655374:JZU655476 KJQ655374:KJQ655476 KTM655374:KTM655476 LDI655374:LDI655476 LNE655374:LNE655476 LXA655374:LXA655476 MGW655374:MGW655476 MQS655374:MQS655476 NAO655374:NAO655476 NKK655374:NKK655476 NUG655374:NUG655476 OEC655374:OEC655476 ONY655374:ONY655476 OXU655374:OXU655476 PHQ655374:PHQ655476 PRM655374:PRM655476 QBI655374:QBI655476 QLE655374:QLE655476 QVA655374:QVA655476 REW655374:REW655476 ROS655374:ROS655476 RYO655374:RYO655476 SIK655374:SIK655476 SSG655374:SSG655476 TCC655374:TCC655476 TLY655374:TLY655476 TVU655374:TVU655476 UFQ655374:UFQ655476 UPM655374:UPM655476 UZI655374:UZI655476 VJE655374:VJE655476 VTA655374:VTA655476 WCW655374:WCW655476 WMS655374:WMS655476 WWO655374:WWO655476 AG720910:AG721012 KC720910:KC721012 TY720910:TY721012 ADU720910:ADU721012 ANQ720910:ANQ721012 AXM720910:AXM721012 BHI720910:BHI721012 BRE720910:BRE721012 CBA720910:CBA721012 CKW720910:CKW721012 CUS720910:CUS721012 DEO720910:DEO721012 DOK720910:DOK721012 DYG720910:DYG721012 EIC720910:EIC721012 ERY720910:ERY721012 FBU720910:FBU721012 FLQ720910:FLQ721012 FVM720910:FVM721012 GFI720910:GFI721012 GPE720910:GPE721012 GZA720910:GZA721012 HIW720910:HIW721012 HSS720910:HSS721012 ICO720910:ICO721012 IMK720910:IMK721012 IWG720910:IWG721012 JGC720910:JGC721012 JPY720910:JPY721012 JZU720910:JZU721012 KJQ720910:KJQ721012 KTM720910:KTM721012 LDI720910:LDI721012 LNE720910:LNE721012 LXA720910:LXA721012 MGW720910:MGW721012 MQS720910:MQS721012 NAO720910:NAO721012 NKK720910:NKK721012 NUG720910:NUG721012 OEC720910:OEC721012 ONY720910:ONY721012 OXU720910:OXU721012 PHQ720910:PHQ721012 PRM720910:PRM721012 QBI720910:QBI721012 QLE720910:QLE721012 QVA720910:QVA721012 REW720910:REW721012 ROS720910:ROS721012 RYO720910:RYO721012 SIK720910:SIK721012 SSG720910:SSG721012 TCC720910:TCC721012 TLY720910:TLY721012 TVU720910:TVU721012 UFQ720910:UFQ721012 UPM720910:UPM721012 UZI720910:UZI721012 VJE720910:VJE721012 VTA720910:VTA721012 WCW720910:WCW721012 WMS720910:WMS721012 WWO720910:WWO721012 AG786446:AG786548 KC786446:KC786548 TY786446:TY786548 ADU786446:ADU786548 ANQ786446:ANQ786548 AXM786446:AXM786548 BHI786446:BHI786548 BRE786446:BRE786548 CBA786446:CBA786548 CKW786446:CKW786548 CUS786446:CUS786548 DEO786446:DEO786548 DOK786446:DOK786548 DYG786446:DYG786548 EIC786446:EIC786548 ERY786446:ERY786548 FBU786446:FBU786548 FLQ786446:FLQ786548 FVM786446:FVM786548 GFI786446:GFI786548 GPE786446:GPE786548 GZA786446:GZA786548 HIW786446:HIW786548 HSS786446:HSS786548 ICO786446:ICO786548 IMK786446:IMK786548 IWG786446:IWG786548 JGC786446:JGC786548 JPY786446:JPY786548 JZU786446:JZU786548 KJQ786446:KJQ786548 KTM786446:KTM786548 LDI786446:LDI786548 LNE786446:LNE786548 LXA786446:LXA786548 MGW786446:MGW786548 MQS786446:MQS786548 NAO786446:NAO786548 NKK786446:NKK786548 NUG786446:NUG786548 OEC786446:OEC786548 ONY786446:ONY786548 OXU786446:OXU786548 PHQ786446:PHQ786548 PRM786446:PRM786548 QBI786446:QBI786548 QLE786446:QLE786548 QVA786446:QVA786548 REW786446:REW786548 ROS786446:ROS786548 RYO786446:RYO786548 SIK786446:SIK786548 SSG786446:SSG786548 TCC786446:TCC786548 TLY786446:TLY786548 TVU786446:TVU786548 UFQ786446:UFQ786548 UPM786446:UPM786548 UZI786446:UZI786548 VJE786446:VJE786548 VTA786446:VTA786548 WCW786446:WCW786548 WMS786446:WMS786548 WWO786446:WWO786548 AG851982:AG852084 KC851982:KC852084 TY851982:TY852084 ADU851982:ADU852084 ANQ851982:ANQ852084 AXM851982:AXM852084 BHI851982:BHI852084 BRE851982:BRE852084 CBA851982:CBA852084 CKW851982:CKW852084 CUS851982:CUS852084 DEO851982:DEO852084 DOK851982:DOK852084 DYG851982:DYG852084 EIC851982:EIC852084 ERY851982:ERY852084 FBU851982:FBU852084 FLQ851982:FLQ852084 FVM851982:FVM852084 GFI851982:GFI852084 GPE851982:GPE852084 GZA851982:GZA852084 HIW851982:HIW852084 HSS851982:HSS852084 ICO851982:ICO852084 IMK851982:IMK852084 IWG851982:IWG852084 JGC851982:JGC852084 JPY851982:JPY852084 JZU851982:JZU852084 KJQ851982:KJQ852084 KTM851982:KTM852084 LDI851982:LDI852084 LNE851982:LNE852084 LXA851982:LXA852084 MGW851982:MGW852084 MQS851982:MQS852084 NAO851982:NAO852084 NKK851982:NKK852084 NUG851982:NUG852084 OEC851982:OEC852084 ONY851982:ONY852084 OXU851982:OXU852084 PHQ851982:PHQ852084 PRM851982:PRM852084 QBI851982:QBI852084 QLE851982:QLE852084 QVA851982:QVA852084 REW851982:REW852084 ROS851982:ROS852084 RYO851982:RYO852084 SIK851982:SIK852084 SSG851982:SSG852084 TCC851982:TCC852084 TLY851982:TLY852084 TVU851982:TVU852084 UFQ851982:UFQ852084 UPM851982:UPM852084 UZI851982:UZI852084 VJE851982:VJE852084 VTA851982:VTA852084 WCW851982:WCW852084 WMS851982:WMS852084 WWO851982:WWO852084 AG917518:AG917620 KC917518:KC917620 TY917518:TY917620 ADU917518:ADU917620 ANQ917518:ANQ917620 AXM917518:AXM917620 BHI917518:BHI917620 BRE917518:BRE917620 CBA917518:CBA917620 CKW917518:CKW917620 CUS917518:CUS917620 DEO917518:DEO917620 DOK917518:DOK917620 DYG917518:DYG917620 EIC917518:EIC917620 ERY917518:ERY917620 FBU917518:FBU917620 FLQ917518:FLQ917620 FVM917518:FVM917620 GFI917518:GFI917620 GPE917518:GPE917620 GZA917518:GZA917620 HIW917518:HIW917620 HSS917518:HSS917620 ICO917518:ICO917620 IMK917518:IMK917620 IWG917518:IWG917620 JGC917518:JGC917620 JPY917518:JPY917620 JZU917518:JZU917620 KJQ917518:KJQ917620 KTM917518:KTM917620 LDI917518:LDI917620 LNE917518:LNE917620 LXA917518:LXA917620 MGW917518:MGW917620 MQS917518:MQS917620 NAO917518:NAO917620 NKK917518:NKK917620 NUG917518:NUG917620 OEC917518:OEC917620 ONY917518:ONY917620 OXU917518:OXU917620 PHQ917518:PHQ917620 PRM917518:PRM917620 QBI917518:QBI917620 QLE917518:QLE917620 QVA917518:QVA917620 REW917518:REW917620 ROS917518:ROS917620 RYO917518:RYO917620 SIK917518:SIK917620 SSG917518:SSG917620 TCC917518:TCC917620 TLY917518:TLY917620 TVU917518:TVU917620 UFQ917518:UFQ917620 UPM917518:UPM917620 UZI917518:UZI917620 VJE917518:VJE917620 VTA917518:VTA917620 WCW917518:WCW917620 WMS917518:WMS917620 WWO917518:WWO917620 AG983054:AG983156 KC983054:KC983156 TY983054:TY983156 ADU983054:ADU983156 ANQ983054:ANQ983156 AXM983054:AXM983156 BHI983054:BHI983156 BRE983054:BRE983156 CBA983054:CBA983156 CKW983054:CKW983156 CUS983054:CUS983156 DEO983054:DEO983156 DOK983054:DOK983156 DYG983054:DYG983156 EIC983054:EIC983156 ERY983054:ERY983156 FBU983054:FBU983156 FLQ983054:FLQ983156 FVM983054:FVM983156 GFI983054:GFI983156 GPE983054:GPE983156 GZA983054:GZA983156 HIW983054:HIW983156 HSS983054:HSS983156 ICO983054:ICO983156 IMK983054:IMK983156 IWG983054:IWG983156 JGC983054:JGC983156 JPY983054:JPY983156 JZU983054:JZU983156 KJQ983054:KJQ983156 KTM983054:KTM983156 LDI983054:LDI983156 LNE983054:LNE983156 LXA983054:LXA983156 MGW983054:MGW983156 MQS983054:MQS983156 NAO983054:NAO983156 NKK983054:NKK983156 NUG983054:NUG983156 OEC983054:OEC983156 ONY983054:ONY983156 OXU983054:OXU983156 PHQ983054:PHQ983156 PRM983054:PRM983156 QBI983054:QBI983156 QLE983054:QLE983156 QVA983054:QVA983156 REW983054:REW983156 ROS983054:ROS983156 RYO983054:RYO983156 SIK983054:SIK983156 SSG983054:SSG983156 TCC983054:TCC983156 TLY983054:TLY983156 TVU983054:TVU983156 UFQ983054:UFQ983156 UPM983054:UPM983156 UZI983054:UZI983156 VJE983054:VJE983156 VTA983054:VTA983156 WCW983054:WCW983156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5 WWO12:WWO65 WMS12:WMS65 WCW12:WCW65 VTA12:VTA65 VJE12:VJE65 UZI12:UZI65 UPM12:UPM65 UFQ12:UFQ65 TVU12:TVU65 TLY12:TLY65 TCC12:TCC65 SSG12:SSG65 SIK12:SIK65 RYO12:RYO65 ROS12:ROS65 REW12:REW65 QVA12:QVA65 QLE12:QLE65 QBI12:QBI65 PRM12:PRM65 PHQ12:PHQ65 OXU12:OXU65 ONY12:ONY65 OEC12:OEC65 NUG12:NUG65 NKK12:NKK65 NAO12:NAO65 MQS12:MQS65 MGW12:MGW65 LXA12:LXA65 LNE12:LNE65 LDI12:LDI65 KTM12:KTM65 KJQ12:KJQ65 JZU12:JZU65 JPY12:JPY65 JGC12:JGC65 IWG12:IWG65 IMK12:IMK65 ICO12:ICO65 HSS12:HSS65 HIW12:HIW65 GZA12:GZA65 GPE12:GPE65 GFI12:GFI65 FVM12:FVM65 FLQ12:FLQ65 FBU12:FBU65 ERY12:ERY65 EIC12:EIC65 DYG12:DYG65 DOK12:DOK65 DEO12:DEO65 CUS12:CUS65 CKW12:CKW65 CBA12:CBA65 BRE12:BRE65 BHI12:BHI65 AXM12:AXM65 ANQ12:ANQ65 ADU12:ADU65 TY12:TY65 TY67:TY116" xr:uid="{7D53B8BD-32A2-4121-8BE1-11B54F1931E5}"/>
    <dataValidation type="whole" operator="lessThanOrEqual" allowBlank="1" showInputMessage="1" showErrorMessage="1" error="INPUT NUMBER LESS THAN OR EQUAL THE HIGHEST POSSIBLE SCORE" prompt="Input Quarterly Assessment Raw Score" sqref="WWN983056:WWN983156 TX67:TX116 ADT67:ADT116 ANP67:ANP116 AXL67:AXL116 BHH67:BHH116 BRD67:BRD116 CAZ67:CAZ116 CKV67:CKV116 CUR67:CUR116 DEN67:DEN116 DOJ67:DOJ116 DYF67:DYF116 EIB67:EIB116 ERX67:ERX116 FBT67:FBT116 FLP67:FLP116 FVL67:FVL116 GFH67:GFH116 GPD67:GPD116 GYZ67:GYZ116 HIV67:HIV116 HSR67:HSR116 ICN67:ICN116 IMJ67:IMJ116 IWF67:IWF116 JGB67:JGB116 JPX67:JPX116 JZT67:JZT116 KJP67:KJP116 KTL67:KTL116 LDH67:LDH116 LND67:LND116 LWZ67:LWZ116 MGV67:MGV116 MQR67:MQR116 NAN67:NAN116 NKJ67:NKJ116 NUF67:NUF116 OEB67:OEB116 ONX67:ONX116 OXT67:OXT116 PHP67:PHP116 PRL67:PRL116 QBH67:QBH116 QLD67:QLD116 QUZ67:QUZ116 REV67:REV116 ROR67:ROR116 RYN67:RYN116 SIJ67:SIJ116 SSF67:SSF116 TCB67:TCB116 TLX67:TLX116 TVT67:TVT116 UFP67:UFP116 UPL67:UPL116 UZH67:UZH116 VJD67:VJD116 VSZ67:VSZ116 WCV67:WCV116 WMR67:WMR116 WWN67:WWN116 WMR983056:WMR983156 AF65552:AF65652 KB65552:KB65652 TX65552:TX65652 ADT65552:ADT65652 ANP65552:ANP65652 AXL65552:AXL65652 BHH65552:BHH65652 BRD65552:BRD65652 CAZ65552:CAZ65652 CKV65552:CKV65652 CUR65552:CUR65652 DEN65552:DEN65652 DOJ65552:DOJ65652 DYF65552:DYF65652 EIB65552:EIB65652 ERX65552:ERX65652 FBT65552:FBT65652 FLP65552:FLP65652 FVL65552:FVL65652 GFH65552:GFH65652 GPD65552:GPD65652 GYZ65552:GYZ65652 HIV65552:HIV65652 HSR65552:HSR65652 ICN65552:ICN65652 IMJ65552:IMJ65652 IWF65552:IWF65652 JGB65552:JGB65652 JPX65552:JPX65652 JZT65552:JZT65652 KJP65552:KJP65652 KTL65552:KTL65652 LDH65552:LDH65652 LND65552:LND65652 LWZ65552:LWZ65652 MGV65552:MGV65652 MQR65552:MQR65652 NAN65552:NAN65652 NKJ65552:NKJ65652 NUF65552:NUF65652 OEB65552:OEB65652 ONX65552:ONX65652 OXT65552:OXT65652 PHP65552:PHP65652 PRL65552:PRL65652 QBH65552:QBH65652 QLD65552:QLD65652 QUZ65552:QUZ65652 REV65552:REV65652 ROR65552:ROR65652 RYN65552:RYN65652 SIJ65552:SIJ65652 SSF65552:SSF65652 TCB65552:TCB65652 TLX65552:TLX65652 TVT65552:TVT65652 UFP65552:UFP65652 UPL65552:UPL65652 UZH65552:UZH65652 VJD65552:VJD65652 VSZ65552:VSZ65652 WCV65552:WCV65652 WMR65552:WMR65652 WWN65552:WWN65652 AF131088:AF131188 KB131088:KB131188 TX131088:TX131188 ADT131088:ADT131188 ANP131088:ANP131188 AXL131088:AXL131188 BHH131088:BHH131188 BRD131088:BRD131188 CAZ131088:CAZ131188 CKV131088:CKV131188 CUR131088:CUR131188 DEN131088:DEN131188 DOJ131088:DOJ131188 DYF131088:DYF131188 EIB131088:EIB131188 ERX131088:ERX131188 FBT131088:FBT131188 FLP131088:FLP131188 FVL131088:FVL131188 GFH131088:GFH131188 GPD131088:GPD131188 GYZ131088:GYZ131188 HIV131088:HIV131188 HSR131088:HSR131188 ICN131088:ICN131188 IMJ131088:IMJ131188 IWF131088:IWF131188 JGB131088:JGB131188 JPX131088:JPX131188 JZT131088:JZT131188 KJP131088:KJP131188 KTL131088:KTL131188 LDH131088:LDH131188 LND131088:LND131188 LWZ131088:LWZ131188 MGV131088:MGV131188 MQR131088:MQR131188 NAN131088:NAN131188 NKJ131088:NKJ131188 NUF131088:NUF131188 OEB131088:OEB131188 ONX131088:ONX131188 OXT131088:OXT131188 PHP131088:PHP131188 PRL131088:PRL131188 QBH131088:QBH131188 QLD131088:QLD131188 QUZ131088:QUZ131188 REV131088:REV131188 ROR131088:ROR131188 RYN131088:RYN131188 SIJ131088:SIJ131188 SSF131088:SSF131188 TCB131088:TCB131188 TLX131088:TLX131188 TVT131088:TVT131188 UFP131088:UFP131188 UPL131088:UPL131188 UZH131088:UZH131188 VJD131088:VJD131188 VSZ131088:VSZ131188 WCV131088:WCV131188 WMR131088:WMR131188 WWN131088:WWN131188 AF196624:AF196724 KB196624:KB196724 TX196624:TX196724 ADT196624:ADT196724 ANP196624:ANP196724 AXL196624:AXL196724 BHH196624:BHH196724 BRD196624:BRD196724 CAZ196624:CAZ196724 CKV196624:CKV196724 CUR196624:CUR196724 DEN196624:DEN196724 DOJ196624:DOJ196724 DYF196624:DYF196724 EIB196624:EIB196724 ERX196624:ERX196724 FBT196624:FBT196724 FLP196624:FLP196724 FVL196624:FVL196724 GFH196624:GFH196724 GPD196624:GPD196724 GYZ196624:GYZ196724 HIV196624:HIV196724 HSR196624:HSR196724 ICN196624:ICN196724 IMJ196624:IMJ196724 IWF196624:IWF196724 JGB196624:JGB196724 JPX196624:JPX196724 JZT196624:JZT196724 KJP196624:KJP196724 KTL196624:KTL196724 LDH196624:LDH196724 LND196624:LND196724 LWZ196624:LWZ196724 MGV196624:MGV196724 MQR196624:MQR196724 NAN196624:NAN196724 NKJ196624:NKJ196724 NUF196624:NUF196724 OEB196624:OEB196724 ONX196624:ONX196724 OXT196624:OXT196724 PHP196624:PHP196724 PRL196624:PRL196724 QBH196624:QBH196724 QLD196624:QLD196724 QUZ196624:QUZ196724 REV196624:REV196724 ROR196624:ROR196724 RYN196624:RYN196724 SIJ196624:SIJ196724 SSF196624:SSF196724 TCB196624:TCB196724 TLX196624:TLX196724 TVT196624:TVT196724 UFP196624:UFP196724 UPL196624:UPL196724 UZH196624:UZH196724 VJD196624:VJD196724 VSZ196624:VSZ196724 WCV196624:WCV196724 WMR196624:WMR196724 WWN196624:WWN196724 AF262160:AF262260 KB262160:KB262260 TX262160:TX262260 ADT262160:ADT262260 ANP262160:ANP262260 AXL262160:AXL262260 BHH262160:BHH262260 BRD262160:BRD262260 CAZ262160:CAZ262260 CKV262160:CKV262260 CUR262160:CUR262260 DEN262160:DEN262260 DOJ262160:DOJ262260 DYF262160:DYF262260 EIB262160:EIB262260 ERX262160:ERX262260 FBT262160:FBT262260 FLP262160:FLP262260 FVL262160:FVL262260 GFH262160:GFH262260 GPD262160:GPD262260 GYZ262160:GYZ262260 HIV262160:HIV262260 HSR262160:HSR262260 ICN262160:ICN262260 IMJ262160:IMJ262260 IWF262160:IWF262260 JGB262160:JGB262260 JPX262160:JPX262260 JZT262160:JZT262260 KJP262160:KJP262260 KTL262160:KTL262260 LDH262160:LDH262260 LND262160:LND262260 LWZ262160:LWZ262260 MGV262160:MGV262260 MQR262160:MQR262260 NAN262160:NAN262260 NKJ262160:NKJ262260 NUF262160:NUF262260 OEB262160:OEB262260 ONX262160:ONX262260 OXT262160:OXT262260 PHP262160:PHP262260 PRL262160:PRL262260 QBH262160:QBH262260 QLD262160:QLD262260 QUZ262160:QUZ262260 REV262160:REV262260 ROR262160:ROR262260 RYN262160:RYN262260 SIJ262160:SIJ262260 SSF262160:SSF262260 TCB262160:TCB262260 TLX262160:TLX262260 TVT262160:TVT262260 UFP262160:UFP262260 UPL262160:UPL262260 UZH262160:UZH262260 VJD262160:VJD262260 VSZ262160:VSZ262260 WCV262160:WCV262260 WMR262160:WMR262260 WWN262160:WWN262260 AF327696:AF327796 KB327696:KB327796 TX327696:TX327796 ADT327696:ADT327796 ANP327696:ANP327796 AXL327696:AXL327796 BHH327696:BHH327796 BRD327696:BRD327796 CAZ327696:CAZ327796 CKV327696:CKV327796 CUR327696:CUR327796 DEN327696:DEN327796 DOJ327696:DOJ327796 DYF327696:DYF327796 EIB327696:EIB327796 ERX327696:ERX327796 FBT327696:FBT327796 FLP327696:FLP327796 FVL327696:FVL327796 GFH327696:GFH327796 GPD327696:GPD327796 GYZ327696:GYZ327796 HIV327696:HIV327796 HSR327696:HSR327796 ICN327696:ICN327796 IMJ327696:IMJ327796 IWF327696:IWF327796 JGB327696:JGB327796 JPX327696:JPX327796 JZT327696:JZT327796 KJP327696:KJP327796 KTL327696:KTL327796 LDH327696:LDH327796 LND327696:LND327796 LWZ327696:LWZ327796 MGV327696:MGV327796 MQR327696:MQR327796 NAN327696:NAN327796 NKJ327696:NKJ327796 NUF327696:NUF327796 OEB327696:OEB327796 ONX327696:ONX327796 OXT327696:OXT327796 PHP327696:PHP327796 PRL327696:PRL327796 QBH327696:QBH327796 QLD327696:QLD327796 QUZ327696:QUZ327796 REV327696:REV327796 ROR327696:ROR327796 RYN327696:RYN327796 SIJ327696:SIJ327796 SSF327696:SSF327796 TCB327696:TCB327796 TLX327696:TLX327796 TVT327696:TVT327796 UFP327696:UFP327796 UPL327696:UPL327796 UZH327696:UZH327796 VJD327696:VJD327796 VSZ327696:VSZ327796 WCV327696:WCV327796 WMR327696:WMR327796 WWN327696:WWN327796 AF393232:AF393332 KB393232:KB393332 TX393232:TX393332 ADT393232:ADT393332 ANP393232:ANP393332 AXL393232:AXL393332 BHH393232:BHH393332 BRD393232:BRD393332 CAZ393232:CAZ393332 CKV393232:CKV393332 CUR393232:CUR393332 DEN393232:DEN393332 DOJ393232:DOJ393332 DYF393232:DYF393332 EIB393232:EIB393332 ERX393232:ERX393332 FBT393232:FBT393332 FLP393232:FLP393332 FVL393232:FVL393332 GFH393232:GFH393332 GPD393232:GPD393332 GYZ393232:GYZ393332 HIV393232:HIV393332 HSR393232:HSR393332 ICN393232:ICN393332 IMJ393232:IMJ393332 IWF393232:IWF393332 JGB393232:JGB393332 JPX393232:JPX393332 JZT393232:JZT393332 KJP393232:KJP393332 KTL393232:KTL393332 LDH393232:LDH393332 LND393232:LND393332 LWZ393232:LWZ393332 MGV393232:MGV393332 MQR393232:MQR393332 NAN393232:NAN393332 NKJ393232:NKJ393332 NUF393232:NUF393332 OEB393232:OEB393332 ONX393232:ONX393332 OXT393232:OXT393332 PHP393232:PHP393332 PRL393232:PRL393332 QBH393232:QBH393332 QLD393232:QLD393332 QUZ393232:QUZ393332 REV393232:REV393332 ROR393232:ROR393332 RYN393232:RYN393332 SIJ393232:SIJ393332 SSF393232:SSF393332 TCB393232:TCB393332 TLX393232:TLX393332 TVT393232:TVT393332 UFP393232:UFP393332 UPL393232:UPL393332 UZH393232:UZH393332 VJD393232:VJD393332 VSZ393232:VSZ393332 WCV393232:WCV393332 WMR393232:WMR393332 WWN393232:WWN393332 AF458768:AF458868 KB458768:KB458868 TX458768:TX458868 ADT458768:ADT458868 ANP458768:ANP458868 AXL458768:AXL458868 BHH458768:BHH458868 BRD458768:BRD458868 CAZ458768:CAZ458868 CKV458768:CKV458868 CUR458768:CUR458868 DEN458768:DEN458868 DOJ458768:DOJ458868 DYF458768:DYF458868 EIB458768:EIB458868 ERX458768:ERX458868 FBT458768:FBT458868 FLP458768:FLP458868 FVL458768:FVL458868 GFH458768:GFH458868 GPD458768:GPD458868 GYZ458768:GYZ458868 HIV458768:HIV458868 HSR458768:HSR458868 ICN458768:ICN458868 IMJ458768:IMJ458868 IWF458768:IWF458868 JGB458768:JGB458868 JPX458768:JPX458868 JZT458768:JZT458868 KJP458768:KJP458868 KTL458768:KTL458868 LDH458768:LDH458868 LND458768:LND458868 LWZ458768:LWZ458868 MGV458768:MGV458868 MQR458768:MQR458868 NAN458768:NAN458868 NKJ458768:NKJ458868 NUF458768:NUF458868 OEB458768:OEB458868 ONX458768:ONX458868 OXT458768:OXT458868 PHP458768:PHP458868 PRL458768:PRL458868 QBH458768:QBH458868 QLD458768:QLD458868 QUZ458768:QUZ458868 REV458768:REV458868 ROR458768:ROR458868 RYN458768:RYN458868 SIJ458768:SIJ458868 SSF458768:SSF458868 TCB458768:TCB458868 TLX458768:TLX458868 TVT458768:TVT458868 UFP458768:UFP458868 UPL458768:UPL458868 UZH458768:UZH458868 VJD458768:VJD458868 VSZ458768:VSZ458868 WCV458768:WCV458868 WMR458768:WMR458868 WWN458768:WWN458868 AF524304:AF524404 KB524304:KB524404 TX524304:TX524404 ADT524304:ADT524404 ANP524304:ANP524404 AXL524304:AXL524404 BHH524304:BHH524404 BRD524304:BRD524404 CAZ524304:CAZ524404 CKV524304:CKV524404 CUR524304:CUR524404 DEN524304:DEN524404 DOJ524304:DOJ524404 DYF524304:DYF524404 EIB524304:EIB524404 ERX524304:ERX524404 FBT524304:FBT524404 FLP524304:FLP524404 FVL524304:FVL524404 GFH524304:GFH524404 GPD524304:GPD524404 GYZ524304:GYZ524404 HIV524304:HIV524404 HSR524304:HSR524404 ICN524304:ICN524404 IMJ524304:IMJ524404 IWF524304:IWF524404 JGB524304:JGB524404 JPX524304:JPX524404 JZT524304:JZT524404 KJP524304:KJP524404 KTL524304:KTL524404 LDH524304:LDH524404 LND524304:LND524404 LWZ524304:LWZ524404 MGV524304:MGV524404 MQR524304:MQR524404 NAN524304:NAN524404 NKJ524304:NKJ524404 NUF524304:NUF524404 OEB524304:OEB524404 ONX524304:ONX524404 OXT524304:OXT524404 PHP524304:PHP524404 PRL524304:PRL524404 QBH524304:QBH524404 QLD524304:QLD524404 QUZ524304:QUZ524404 REV524304:REV524404 ROR524304:ROR524404 RYN524304:RYN524404 SIJ524304:SIJ524404 SSF524304:SSF524404 TCB524304:TCB524404 TLX524304:TLX524404 TVT524304:TVT524404 UFP524304:UFP524404 UPL524304:UPL524404 UZH524304:UZH524404 VJD524304:VJD524404 VSZ524304:VSZ524404 WCV524304:WCV524404 WMR524304:WMR524404 WWN524304:WWN524404 AF589840:AF589940 KB589840:KB589940 TX589840:TX589940 ADT589840:ADT589940 ANP589840:ANP589940 AXL589840:AXL589940 BHH589840:BHH589940 BRD589840:BRD589940 CAZ589840:CAZ589940 CKV589840:CKV589940 CUR589840:CUR589940 DEN589840:DEN589940 DOJ589840:DOJ589940 DYF589840:DYF589940 EIB589840:EIB589940 ERX589840:ERX589940 FBT589840:FBT589940 FLP589840:FLP589940 FVL589840:FVL589940 GFH589840:GFH589940 GPD589840:GPD589940 GYZ589840:GYZ589940 HIV589840:HIV589940 HSR589840:HSR589940 ICN589840:ICN589940 IMJ589840:IMJ589940 IWF589840:IWF589940 JGB589840:JGB589940 JPX589840:JPX589940 JZT589840:JZT589940 KJP589840:KJP589940 KTL589840:KTL589940 LDH589840:LDH589940 LND589840:LND589940 LWZ589840:LWZ589940 MGV589840:MGV589940 MQR589840:MQR589940 NAN589840:NAN589940 NKJ589840:NKJ589940 NUF589840:NUF589940 OEB589840:OEB589940 ONX589840:ONX589940 OXT589840:OXT589940 PHP589840:PHP589940 PRL589840:PRL589940 QBH589840:QBH589940 QLD589840:QLD589940 QUZ589840:QUZ589940 REV589840:REV589940 ROR589840:ROR589940 RYN589840:RYN589940 SIJ589840:SIJ589940 SSF589840:SSF589940 TCB589840:TCB589940 TLX589840:TLX589940 TVT589840:TVT589940 UFP589840:UFP589940 UPL589840:UPL589940 UZH589840:UZH589940 VJD589840:VJD589940 VSZ589840:VSZ589940 WCV589840:WCV589940 WMR589840:WMR589940 WWN589840:WWN589940 AF655376:AF655476 KB655376:KB655476 TX655376:TX655476 ADT655376:ADT655476 ANP655376:ANP655476 AXL655376:AXL655476 BHH655376:BHH655476 BRD655376:BRD655476 CAZ655376:CAZ655476 CKV655376:CKV655476 CUR655376:CUR655476 DEN655376:DEN655476 DOJ655376:DOJ655476 DYF655376:DYF655476 EIB655376:EIB655476 ERX655376:ERX655476 FBT655376:FBT655476 FLP655376:FLP655476 FVL655376:FVL655476 GFH655376:GFH655476 GPD655376:GPD655476 GYZ655376:GYZ655476 HIV655376:HIV655476 HSR655376:HSR655476 ICN655376:ICN655476 IMJ655376:IMJ655476 IWF655376:IWF655476 JGB655376:JGB655476 JPX655376:JPX655476 JZT655376:JZT655476 KJP655376:KJP655476 KTL655376:KTL655476 LDH655376:LDH655476 LND655376:LND655476 LWZ655376:LWZ655476 MGV655376:MGV655476 MQR655376:MQR655476 NAN655376:NAN655476 NKJ655376:NKJ655476 NUF655376:NUF655476 OEB655376:OEB655476 ONX655376:ONX655476 OXT655376:OXT655476 PHP655376:PHP655476 PRL655376:PRL655476 QBH655376:QBH655476 QLD655376:QLD655476 QUZ655376:QUZ655476 REV655376:REV655476 ROR655376:ROR655476 RYN655376:RYN655476 SIJ655376:SIJ655476 SSF655376:SSF655476 TCB655376:TCB655476 TLX655376:TLX655476 TVT655376:TVT655476 UFP655376:UFP655476 UPL655376:UPL655476 UZH655376:UZH655476 VJD655376:VJD655476 VSZ655376:VSZ655476 WCV655376:WCV655476 WMR655376:WMR655476 WWN655376:WWN655476 AF720912:AF721012 KB720912:KB721012 TX720912:TX721012 ADT720912:ADT721012 ANP720912:ANP721012 AXL720912:AXL721012 BHH720912:BHH721012 BRD720912:BRD721012 CAZ720912:CAZ721012 CKV720912:CKV721012 CUR720912:CUR721012 DEN720912:DEN721012 DOJ720912:DOJ721012 DYF720912:DYF721012 EIB720912:EIB721012 ERX720912:ERX721012 FBT720912:FBT721012 FLP720912:FLP721012 FVL720912:FVL721012 GFH720912:GFH721012 GPD720912:GPD721012 GYZ720912:GYZ721012 HIV720912:HIV721012 HSR720912:HSR721012 ICN720912:ICN721012 IMJ720912:IMJ721012 IWF720912:IWF721012 JGB720912:JGB721012 JPX720912:JPX721012 JZT720912:JZT721012 KJP720912:KJP721012 KTL720912:KTL721012 LDH720912:LDH721012 LND720912:LND721012 LWZ720912:LWZ721012 MGV720912:MGV721012 MQR720912:MQR721012 NAN720912:NAN721012 NKJ720912:NKJ721012 NUF720912:NUF721012 OEB720912:OEB721012 ONX720912:ONX721012 OXT720912:OXT721012 PHP720912:PHP721012 PRL720912:PRL721012 QBH720912:QBH721012 QLD720912:QLD721012 QUZ720912:QUZ721012 REV720912:REV721012 ROR720912:ROR721012 RYN720912:RYN721012 SIJ720912:SIJ721012 SSF720912:SSF721012 TCB720912:TCB721012 TLX720912:TLX721012 TVT720912:TVT721012 UFP720912:UFP721012 UPL720912:UPL721012 UZH720912:UZH721012 VJD720912:VJD721012 VSZ720912:VSZ721012 WCV720912:WCV721012 WMR720912:WMR721012 WWN720912:WWN721012 AF786448:AF786548 KB786448:KB786548 TX786448:TX786548 ADT786448:ADT786548 ANP786448:ANP786548 AXL786448:AXL786548 BHH786448:BHH786548 BRD786448:BRD786548 CAZ786448:CAZ786548 CKV786448:CKV786548 CUR786448:CUR786548 DEN786448:DEN786548 DOJ786448:DOJ786548 DYF786448:DYF786548 EIB786448:EIB786548 ERX786448:ERX786548 FBT786448:FBT786548 FLP786448:FLP786548 FVL786448:FVL786548 GFH786448:GFH786548 GPD786448:GPD786548 GYZ786448:GYZ786548 HIV786448:HIV786548 HSR786448:HSR786548 ICN786448:ICN786548 IMJ786448:IMJ786548 IWF786448:IWF786548 JGB786448:JGB786548 JPX786448:JPX786548 JZT786448:JZT786548 KJP786448:KJP786548 KTL786448:KTL786548 LDH786448:LDH786548 LND786448:LND786548 LWZ786448:LWZ786548 MGV786448:MGV786548 MQR786448:MQR786548 NAN786448:NAN786548 NKJ786448:NKJ786548 NUF786448:NUF786548 OEB786448:OEB786548 ONX786448:ONX786548 OXT786448:OXT786548 PHP786448:PHP786548 PRL786448:PRL786548 QBH786448:QBH786548 QLD786448:QLD786548 QUZ786448:QUZ786548 REV786448:REV786548 ROR786448:ROR786548 RYN786448:RYN786548 SIJ786448:SIJ786548 SSF786448:SSF786548 TCB786448:TCB786548 TLX786448:TLX786548 TVT786448:TVT786548 UFP786448:UFP786548 UPL786448:UPL786548 UZH786448:UZH786548 VJD786448:VJD786548 VSZ786448:VSZ786548 WCV786448:WCV786548 WMR786448:WMR786548 WWN786448:WWN786548 AF851984:AF852084 KB851984:KB852084 TX851984:TX852084 ADT851984:ADT852084 ANP851984:ANP852084 AXL851984:AXL852084 BHH851984:BHH852084 BRD851984:BRD852084 CAZ851984:CAZ852084 CKV851984:CKV852084 CUR851984:CUR852084 DEN851984:DEN852084 DOJ851984:DOJ852084 DYF851984:DYF852084 EIB851984:EIB852084 ERX851984:ERX852084 FBT851984:FBT852084 FLP851984:FLP852084 FVL851984:FVL852084 GFH851984:GFH852084 GPD851984:GPD852084 GYZ851984:GYZ852084 HIV851984:HIV852084 HSR851984:HSR852084 ICN851984:ICN852084 IMJ851984:IMJ852084 IWF851984:IWF852084 JGB851984:JGB852084 JPX851984:JPX852084 JZT851984:JZT852084 KJP851984:KJP852084 KTL851984:KTL852084 LDH851984:LDH852084 LND851984:LND852084 LWZ851984:LWZ852084 MGV851984:MGV852084 MQR851984:MQR852084 NAN851984:NAN852084 NKJ851984:NKJ852084 NUF851984:NUF852084 OEB851984:OEB852084 ONX851984:ONX852084 OXT851984:OXT852084 PHP851984:PHP852084 PRL851984:PRL852084 QBH851984:QBH852084 QLD851984:QLD852084 QUZ851984:QUZ852084 REV851984:REV852084 ROR851984:ROR852084 RYN851984:RYN852084 SIJ851984:SIJ852084 SSF851984:SSF852084 TCB851984:TCB852084 TLX851984:TLX852084 TVT851984:TVT852084 UFP851984:UFP852084 UPL851984:UPL852084 UZH851984:UZH852084 VJD851984:VJD852084 VSZ851984:VSZ852084 WCV851984:WCV852084 WMR851984:WMR852084 WWN851984:WWN852084 AF917520:AF917620 KB917520:KB917620 TX917520:TX917620 ADT917520:ADT917620 ANP917520:ANP917620 AXL917520:AXL917620 BHH917520:BHH917620 BRD917520:BRD917620 CAZ917520:CAZ917620 CKV917520:CKV917620 CUR917520:CUR917620 DEN917520:DEN917620 DOJ917520:DOJ917620 DYF917520:DYF917620 EIB917520:EIB917620 ERX917520:ERX917620 FBT917520:FBT917620 FLP917520:FLP917620 FVL917520:FVL917620 GFH917520:GFH917620 GPD917520:GPD917620 GYZ917520:GYZ917620 HIV917520:HIV917620 HSR917520:HSR917620 ICN917520:ICN917620 IMJ917520:IMJ917620 IWF917520:IWF917620 JGB917520:JGB917620 JPX917520:JPX917620 JZT917520:JZT917620 KJP917520:KJP917620 KTL917520:KTL917620 LDH917520:LDH917620 LND917520:LND917620 LWZ917520:LWZ917620 MGV917520:MGV917620 MQR917520:MQR917620 NAN917520:NAN917620 NKJ917520:NKJ917620 NUF917520:NUF917620 OEB917520:OEB917620 ONX917520:ONX917620 OXT917520:OXT917620 PHP917520:PHP917620 PRL917520:PRL917620 QBH917520:QBH917620 QLD917520:QLD917620 QUZ917520:QUZ917620 REV917520:REV917620 ROR917520:ROR917620 RYN917520:RYN917620 SIJ917520:SIJ917620 SSF917520:SSF917620 TCB917520:TCB917620 TLX917520:TLX917620 TVT917520:TVT917620 UFP917520:UFP917620 UPL917520:UPL917620 UZH917520:UZH917620 VJD917520:VJD917620 VSZ917520:VSZ917620 WCV917520:WCV917620 WMR917520:WMR917620 WWN917520:WWN917620 AF983056:AF983156 KB983056:KB983156 TX983056:TX983156 ADT983056:ADT983156 ANP983056:ANP983156 AXL983056:AXL983156 BHH983056:BHH983156 BRD983056:BRD983156 CAZ983056:CAZ983156 CKV983056:CKV983156 CUR983056:CUR983156 DEN983056:DEN983156 DOJ983056:DOJ983156 DYF983056:DYF983156 EIB983056:EIB983156 ERX983056:ERX983156 FBT983056:FBT983156 FLP983056:FLP983156 FVL983056:FVL983156 GFH983056:GFH983156 GPD983056:GPD983156 GYZ983056:GYZ983156 HIV983056:HIV983156 HSR983056:HSR983156 ICN983056:ICN983156 IMJ983056:IMJ983156 IWF983056:IWF983156 JGB983056:JGB983156 JPX983056:JPX983156 JZT983056:JZT983156 KJP983056:KJP983156 KTL983056:KTL983156 LDH983056:LDH983156 LND983056:LND983156 LWZ983056:LWZ983156 MGV983056:MGV983156 MQR983056:MQR983156 NAN983056:NAN983156 NKJ983056:NKJ983156 NUF983056:NUF983156 OEB983056:OEB983156 ONX983056:ONX983156 OXT983056:OXT983156 PHP983056:PHP983156 PRL983056:PRL983156 QBH983056:QBH983156 QLD983056:QLD983156 QUZ983056:QUZ983156 REV983056:REV983156 ROR983056:ROR983156 RYN983056:RYN983156 SIJ983056:SIJ983156 SSF983056:SSF983156 TCB983056:TCB983156 TLX983056:TLX983156 TVT983056:TVT983156 UFP983056:UFP983156 UPL983056:UPL983156 UZH983056:UZH983156 VJD983056:VJD983156 VSZ983056:VSZ983156 WCV983056:WCV983156 WWN12:WWN65 WMR12:WMR65 WCV12:WCV65 VSZ12:VSZ65 VJD12:VJD65 UZH12:UZH65 UPL12:UPL65 UFP12:UFP65 TVT12:TVT65 TLX12:TLX65 TCB12:TCB65 SSF12:SSF65 SIJ12:SIJ65 RYN12:RYN65 ROR12:ROR65 REV12:REV65 QUZ12:QUZ65 QLD12:QLD65 QBH12:QBH65 PRL12:PRL65 PHP12:PHP65 OXT12:OXT65 ONX12:ONX65 OEB12:OEB65 NUF12:NUF65 NKJ12:NKJ65 NAN12:NAN65 MQR12:MQR65 MGV12:MGV65 LWZ12:LWZ65 LND12:LND65 LDH12:LDH65 KTL12:KTL65 KJP12:KJP65 JZT12:JZT65 JPX12:JPX65 JGB12:JGB65 IWF12:IWF65 IMJ12:IMJ65 ICN12:ICN65 HSR12:HSR65 HIV12:HIV65 GYZ12:GYZ65 GPD12:GPD65 GFH12:GFH65 FVL12:FVL65 FLP12:FLP65 FBT12:FBT65 ERX12:ERX65 EIB12:EIB65 DYF12:DYF65 DOJ12:DOJ65 DEN12:DEN65 CUR12:CUR65 CKV12:CKV65 CAZ12:CAZ65 BRD12:BRD65 BHH12:BHH65 AXL12:AXL65 ANP12:ANP65 ADT12:ADT65 TX12:TX65 KB12:KB65 KB67:KB116" xr:uid="{60C4624C-33B5-4D26-A4CA-E7C915CA6EE6}">
      <formula1>$AF$10</formula1>
    </dataValidation>
    <dataValidation allowBlank="1" showInputMessage="1" showErrorMessage="1" prompt="INPUT Quarterly Assessment Highest Possible Score" sqref="WWN983054:WWN983055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4:WMR983055 AF65550:AF65551 KB65550:KB65551 TX65550:TX65551 ADT65550:ADT65551 ANP65550:ANP65551 AXL65550:AXL65551 BHH65550:BHH65551 BRD65550:BRD65551 CAZ65550:CAZ65551 CKV65550:CKV65551 CUR65550:CUR65551 DEN65550:DEN65551 DOJ65550:DOJ65551 DYF65550:DYF65551 EIB65550:EIB65551 ERX65550:ERX65551 FBT65550:FBT65551 FLP65550:FLP65551 FVL65550:FVL65551 GFH65550:GFH65551 GPD65550:GPD65551 GYZ65550:GYZ65551 HIV65550:HIV65551 HSR65550:HSR65551 ICN65550:ICN65551 IMJ65550:IMJ65551 IWF65550:IWF65551 JGB65550:JGB65551 JPX65550:JPX65551 JZT65550:JZT65551 KJP65550:KJP65551 KTL65550:KTL65551 LDH65550:LDH65551 LND65550:LND65551 LWZ65550:LWZ65551 MGV65550:MGV65551 MQR65550:MQR65551 NAN65550:NAN65551 NKJ65550:NKJ65551 NUF65550:NUF65551 OEB65550:OEB65551 ONX65550:ONX65551 OXT65550:OXT65551 PHP65550:PHP65551 PRL65550:PRL65551 QBH65550:QBH65551 QLD65550:QLD65551 QUZ65550:QUZ65551 REV65550:REV65551 ROR65550:ROR65551 RYN65550:RYN65551 SIJ65550:SIJ65551 SSF65550:SSF65551 TCB65550:TCB65551 TLX65550:TLX65551 TVT65550:TVT65551 UFP65550:UFP65551 UPL65550:UPL65551 UZH65550:UZH65551 VJD65550:VJD65551 VSZ65550:VSZ65551 WCV65550:WCV65551 WMR65550:WMR65551 WWN65550:WWN65551 AF131086:AF131087 KB131086:KB131087 TX131086:TX131087 ADT131086:ADT131087 ANP131086:ANP131087 AXL131086:AXL131087 BHH131086:BHH131087 BRD131086:BRD131087 CAZ131086:CAZ131087 CKV131086:CKV131087 CUR131086:CUR131087 DEN131086:DEN131087 DOJ131086:DOJ131087 DYF131086:DYF131087 EIB131086:EIB131087 ERX131086:ERX131087 FBT131086:FBT131087 FLP131086:FLP131087 FVL131086:FVL131087 GFH131086:GFH131087 GPD131086:GPD131087 GYZ131086:GYZ131087 HIV131086:HIV131087 HSR131086:HSR131087 ICN131086:ICN131087 IMJ131086:IMJ131087 IWF131086:IWF131087 JGB131086:JGB131087 JPX131086:JPX131087 JZT131086:JZT131087 KJP131086:KJP131087 KTL131086:KTL131087 LDH131086:LDH131087 LND131086:LND131087 LWZ131086:LWZ131087 MGV131086:MGV131087 MQR131086:MQR131087 NAN131086:NAN131087 NKJ131086:NKJ131087 NUF131086:NUF131087 OEB131086:OEB131087 ONX131086:ONX131087 OXT131086:OXT131087 PHP131086:PHP131087 PRL131086:PRL131087 QBH131086:QBH131087 QLD131086:QLD131087 QUZ131086:QUZ131087 REV131086:REV131087 ROR131086:ROR131087 RYN131086:RYN131087 SIJ131086:SIJ131087 SSF131086:SSF131087 TCB131086:TCB131087 TLX131086:TLX131087 TVT131086:TVT131087 UFP131086:UFP131087 UPL131086:UPL131087 UZH131086:UZH131087 VJD131086:VJD131087 VSZ131086:VSZ131087 WCV131086:WCV131087 WMR131086:WMR131087 WWN131086:WWN131087 AF196622:AF196623 KB196622:KB196623 TX196622:TX196623 ADT196622:ADT196623 ANP196622:ANP196623 AXL196622:AXL196623 BHH196622:BHH196623 BRD196622:BRD196623 CAZ196622:CAZ196623 CKV196622:CKV196623 CUR196622:CUR196623 DEN196622:DEN196623 DOJ196622:DOJ196623 DYF196622:DYF196623 EIB196622:EIB196623 ERX196622:ERX196623 FBT196622:FBT196623 FLP196622:FLP196623 FVL196622:FVL196623 GFH196622:GFH196623 GPD196622:GPD196623 GYZ196622:GYZ196623 HIV196622:HIV196623 HSR196622:HSR196623 ICN196622:ICN196623 IMJ196622:IMJ196623 IWF196622:IWF196623 JGB196622:JGB196623 JPX196622:JPX196623 JZT196622:JZT196623 KJP196622:KJP196623 KTL196622:KTL196623 LDH196622:LDH196623 LND196622:LND196623 LWZ196622:LWZ196623 MGV196622:MGV196623 MQR196622:MQR196623 NAN196622:NAN196623 NKJ196622:NKJ196623 NUF196622:NUF196623 OEB196622:OEB196623 ONX196622:ONX196623 OXT196622:OXT196623 PHP196622:PHP196623 PRL196622:PRL196623 QBH196622:QBH196623 QLD196622:QLD196623 QUZ196622:QUZ196623 REV196622:REV196623 ROR196622:ROR196623 RYN196622:RYN196623 SIJ196622:SIJ196623 SSF196622:SSF196623 TCB196622:TCB196623 TLX196622:TLX196623 TVT196622:TVT196623 UFP196622:UFP196623 UPL196622:UPL196623 UZH196622:UZH196623 VJD196622:VJD196623 VSZ196622:VSZ196623 WCV196622:WCV196623 WMR196622:WMR196623 WWN196622:WWN196623 AF262158:AF262159 KB262158:KB262159 TX262158:TX262159 ADT262158:ADT262159 ANP262158:ANP262159 AXL262158:AXL262159 BHH262158:BHH262159 BRD262158:BRD262159 CAZ262158:CAZ262159 CKV262158:CKV262159 CUR262158:CUR262159 DEN262158:DEN262159 DOJ262158:DOJ262159 DYF262158:DYF262159 EIB262158:EIB262159 ERX262158:ERX262159 FBT262158:FBT262159 FLP262158:FLP262159 FVL262158:FVL262159 GFH262158:GFH262159 GPD262158:GPD262159 GYZ262158:GYZ262159 HIV262158:HIV262159 HSR262158:HSR262159 ICN262158:ICN262159 IMJ262158:IMJ262159 IWF262158:IWF262159 JGB262158:JGB262159 JPX262158:JPX262159 JZT262158:JZT262159 KJP262158:KJP262159 KTL262158:KTL262159 LDH262158:LDH262159 LND262158:LND262159 LWZ262158:LWZ262159 MGV262158:MGV262159 MQR262158:MQR262159 NAN262158:NAN262159 NKJ262158:NKJ262159 NUF262158:NUF262159 OEB262158:OEB262159 ONX262158:ONX262159 OXT262158:OXT262159 PHP262158:PHP262159 PRL262158:PRL262159 QBH262158:QBH262159 QLD262158:QLD262159 QUZ262158:QUZ262159 REV262158:REV262159 ROR262158:ROR262159 RYN262158:RYN262159 SIJ262158:SIJ262159 SSF262158:SSF262159 TCB262158:TCB262159 TLX262158:TLX262159 TVT262158:TVT262159 UFP262158:UFP262159 UPL262158:UPL262159 UZH262158:UZH262159 VJD262158:VJD262159 VSZ262158:VSZ262159 WCV262158:WCV262159 WMR262158:WMR262159 WWN262158:WWN262159 AF327694:AF327695 KB327694:KB327695 TX327694:TX327695 ADT327694:ADT327695 ANP327694:ANP327695 AXL327694:AXL327695 BHH327694:BHH327695 BRD327694:BRD327695 CAZ327694:CAZ327695 CKV327694:CKV327695 CUR327694:CUR327695 DEN327694:DEN327695 DOJ327694:DOJ327695 DYF327694:DYF327695 EIB327694:EIB327695 ERX327694:ERX327695 FBT327694:FBT327695 FLP327694:FLP327695 FVL327694:FVL327695 GFH327694:GFH327695 GPD327694:GPD327695 GYZ327694:GYZ327695 HIV327694:HIV327695 HSR327694:HSR327695 ICN327694:ICN327695 IMJ327694:IMJ327695 IWF327694:IWF327695 JGB327694:JGB327695 JPX327694:JPX327695 JZT327694:JZT327695 KJP327694:KJP327695 KTL327694:KTL327695 LDH327694:LDH327695 LND327694:LND327695 LWZ327694:LWZ327695 MGV327694:MGV327695 MQR327694:MQR327695 NAN327694:NAN327695 NKJ327694:NKJ327695 NUF327694:NUF327695 OEB327694:OEB327695 ONX327694:ONX327695 OXT327694:OXT327695 PHP327694:PHP327695 PRL327694:PRL327695 QBH327694:QBH327695 QLD327694:QLD327695 QUZ327694:QUZ327695 REV327694:REV327695 ROR327694:ROR327695 RYN327694:RYN327695 SIJ327694:SIJ327695 SSF327694:SSF327695 TCB327694:TCB327695 TLX327694:TLX327695 TVT327694:TVT327695 UFP327694:UFP327695 UPL327694:UPL327695 UZH327694:UZH327695 VJD327694:VJD327695 VSZ327694:VSZ327695 WCV327694:WCV327695 WMR327694:WMR327695 WWN327694:WWN327695 AF393230:AF393231 KB393230:KB393231 TX393230:TX393231 ADT393230:ADT393231 ANP393230:ANP393231 AXL393230:AXL393231 BHH393230:BHH393231 BRD393230:BRD393231 CAZ393230:CAZ393231 CKV393230:CKV393231 CUR393230:CUR393231 DEN393230:DEN393231 DOJ393230:DOJ393231 DYF393230:DYF393231 EIB393230:EIB393231 ERX393230:ERX393231 FBT393230:FBT393231 FLP393230:FLP393231 FVL393230:FVL393231 GFH393230:GFH393231 GPD393230:GPD393231 GYZ393230:GYZ393231 HIV393230:HIV393231 HSR393230:HSR393231 ICN393230:ICN393231 IMJ393230:IMJ393231 IWF393230:IWF393231 JGB393230:JGB393231 JPX393230:JPX393231 JZT393230:JZT393231 KJP393230:KJP393231 KTL393230:KTL393231 LDH393230:LDH393231 LND393230:LND393231 LWZ393230:LWZ393231 MGV393230:MGV393231 MQR393230:MQR393231 NAN393230:NAN393231 NKJ393230:NKJ393231 NUF393230:NUF393231 OEB393230:OEB393231 ONX393230:ONX393231 OXT393230:OXT393231 PHP393230:PHP393231 PRL393230:PRL393231 QBH393230:QBH393231 QLD393230:QLD393231 QUZ393230:QUZ393231 REV393230:REV393231 ROR393230:ROR393231 RYN393230:RYN393231 SIJ393230:SIJ393231 SSF393230:SSF393231 TCB393230:TCB393231 TLX393230:TLX393231 TVT393230:TVT393231 UFP393230:UFP393231 UPL393230:UPL393231 UZH393230:UZH393231 VJD393230:VJD393231 VSZ393230:VSZ393231 WCV393230:WCV393231 WMR393230:WMR393231 WWN393230:WWN393231 AF458766:AF458767 KB458766:KB458767 TX458766:TX458767 ADT458766:ADT458767 ANP458766:ANP458767 AXL458766:AXL458767 BHH458766:BHH458767 BRD458766:BRD458767 CAZ458766:CAZ458767 CKV458766:CKV458767 CUR458766:CUR458767 DEN458766:DEN458767 DOJ458766:DOJ458767 DYF458766:DYF458767 EIB458766:EIB458767 ERX458766:ERX458767 FBT458766:FBT458767 FLP458766:FLP458767 FVL458766:FVL458767 GFH458766:GFH458767 GPD458766:GPD458767 GYZ458766:GYZ458767 HIV458766:HIV458767 HSR458766:HSR458767 ICN458766:ICN458767 IMJ458766:IMJ458767 IWF458766:IWF458767 JGB458766:JGB458767 JPX458766:JPX458767 JZT458766:JZT458767 KJP458766:KJP458767 KTL458766:KTL458767 LDH458766:LDH458767 LND458766:LND458767 LWZ458766:LWZ458767 MGV458766:MGV458767 MQR458766:MQR458767 NAN458766:NAN458767 NKJ458766:NKJ458767 NUF458766:NUF458767 OEB458766:OEB458767 ONX458766:ONX458767 OXT458766:OXT458767 PHP458766:PHP458767 PRL458766:PRL458767 QBH458766:QBH458767 QLD458766:QLD458767 QUZ458766:QUZ458767 REV458766:REV458767 ROR458766:ROR458767 RYN458766:RYN458767 SIJ458766:SIJ458767 SSF458766:SSF458767 TCB458766:TCB458767 TLX458766:TLX458767 TVT458766:TVT458767 UFP458766:UFP458767 UPL458766:UPL458767 UZH458766:UZH458767 VJD458766:VJD458767 VSZ458766:VSZ458767 WCV458766:WCV458767 WMR458766:WMR458767 WWN458766:WWN458767 AF524302:AF524303 KB524302:KB524303 TX524302:TX524303 ADT524302:ADT524303 ANP524302:ANP524303 AXL524302:AXL524303 BHH524302:BHH524303 BRD524302:BRD524303 CAZ524302:CAZ524303 CKV524302:CKV524303 CUR524302:CUR524303 DEN524302:DEN524303 DOJ524302:DOJ524303 DYF524302:DYF524303 EIB524302:EIB524303 ERX524302:ERX524303 FBT524302:FBT524303 FLP524302:FLP524303 FVL524302:FVL524303 GFH524302:GFH524303 GPD524302:GPD524303 GYZ524302:GYZ524303 HIV524302:HIV524303 HSR524302:HSR524303 ICN524302:ICN524303 IMJ524302:IMJ524303 IWF524302:IWF524303 JGB524302:JGB524303 JPX524302:JPX524303 JZT524302:JZT524303 KJP524302:KJP524303 KTL524302:KTL524303 LDH524302:LDH524303 LND524302:LND524303 LWZ524302:LWZ524303 MGV524302:MGV524303 MQR524302:MQR524303 NAN524302:NAN524303 NKJ524302:NKJ524303 NUF524302:NUF524303 OEB524302:OEB524303 ONX524302:ONX524303 OXT524302:OXT524303 PHP524302:PHP524303 PRL524302:PRL524303 QBH524302:QBH524303 QLD524302:QLD524303 QUZ524302:QUZ524303 REV524302:REV524303 ROR524302:ROR524303 RYN524302:RYN524303 SIJ524302:SIJ524303 SSF524302:SSF524303 TCB524302:TCB524303 TLX524302:TLX524303 TVT524302:TVT524303 UFP524302:UFP524303 UPL524302:UPL524303 UZH524302:UZH524303 VJD524302:VJD524303 VSZ524302:VSZ524303 WCV524302:WCV524303 WMR524302:WMR524303 WWN524302:WWN524303 AF589838:AF589839 KB589838:KB589839 TX589838:TX589839 ADT589838:ADT589839 ANP589838:ANP589839 AXL589838:AXL589839 BHH589838:BHH589839 BRD589838:BRD589839 CAZ589838:CAZ589839 CKV589838:CKV589839 CUR589838:CUR589839 DEN589838:DEN589839 DOJ589838:DOJ589839 DYF589838:DYF589839 EIB589838:EIB589839 ERX589838:ERX589839 FBT589838:FBT589839 FLP589838:FLP589839 FVL589838:FVL589839 GFH589838:GFH589839 GPD589838:GPD589839 GYZ589838:GYZ589839 HIV589838:HIV589839 HSR589838:HSR589839 ICN589838:ICN589839 IMJ589838:IMJ589839 IWF589838:IWF589839 JGB589838:JGB589839 JPX589838:JPX589839 JZT589838:JZT589839 KJP589838:KJP589839 KTL589838:KTL589839 LDH589838:LDH589839 LND589838:LND589839 LWZ589838:LWZ589839 MGV589838:MGV589839 MQR589838:MQR589839 NAN589838:NAN589839 NKJ589838:NKJ589839 NUF589838:NUF589839 OEB589838:OEB589839 ONX589838:ONX589839 OXT589838:OXT589839 PHP589838:PHP589839 PRL589838:PRL589839 QBH589838:QBH589839 QLD589838:QLD589839 QUZ589838:QUZ589839 REV589838:REV589839 ROR589838:ROR589839 RYN589838:RYN589839 SIJ589838:SIJ589839 SSF589838:SSF589839 TCB589838:TCB589839 TLX589838:TLX589839 TVT589838:TVT589839 UFP589838:UFP589839 UPL589838:UPL589839 UZH589838:UZH589839 VJD589838:VJD589839 VSZ589838:VSZ589839 WCV589838:WCV589839 WMR589838:WMR589839 WWN589838:WWN589839 AF655374:AF655375 KB655374:KB655375 TX655374:TX655375 ADT655374:ADT655375 ANP655374:ANP655375 AXL655374:AXL655375 BHH655374:BHH655375 BRD655374:BRD655375 CAZ655374:CAZ655375 CKV655374:CKV655375 CUR655374:CUR655375 DEN655374:DEN655375 DOJ655374:DOJ655375 DYF655374:DYF655375 EIB655374:EIB655375 ERX655374:ERX655375 FBT655374:FBT655375 FLP655374:FLP655375 FVL655374:FVL655375 GFH655374:GFH655375 GPD655374:GPD655375 GYZ655374:GYZ655375 HIV655374:HIV655375 HSR655374:HSR655375 ICN655374:ICN655375 IMJ655374:IMJ655375 IWF655374:IWF655375 JGB655374:JGB655375 JPX655374:JPX655375 JZT655374:JZT655375 KJP655374:KJP655375 KTL655374:KTL655375 LDH655374:LDH655375 LND655374:LND655375 LWZ655374:LWZ655375 MGV655374:MGV655375 MQR655374:MQR655375 NAN655374:NAN655375 NKJ655374:NKJ655375 NUF655374:NUF655375 OEB655374:OEB655375 ONX655374:ONX655375 OXT655374:OXT655375 PHP655374:PHP655375 PRL655374:PRL655375 QBH655374:QBH655375 QLD655374:QLD655375 QUZ655374:QUZ655375 REV655374:REV655375 ROR655374:ROR655375 RYN655374:RYN655375 SIJ655374:SIJ655375 SSF655374:SSF655375 TCB655374:TCB655375 TLX655374:TLX655375 TVT655374:TVT655375 UFP655374:UFP655375 UPL655374:UPL655375 UZH655374:UZH655375 VJD655374:VJD655375 VSZ655374:VSZ655375 WCV655374:WCV655375 WMR655374:WMR655375 WWN655374:WWN655375 AF720910:AF720911 KB720910:KB720911 TX720910:TX720911 ADT720910:ADT720911 ANP720910:ANP720911 AXL720910:AXL720911 BHH720910:BHH720911 BRD720910:BRD720911 CAZ720910:CAZ720911 CKV720910:CKV720911 CUR720910:CUR720911 DEN720910:DEN720911 DOJ720910:DOJ720911 DYF720910:DYF720911 EIB720910:EIB720911 ERX720910:ERX720911 FBT720910:FBT720911 FLP720910:FLP720911 FVL720910:FVL720911 GFH720910:GFH720911 GPD720910:GPD720911 GYZ720910:GYZ720911 HIV720910:HIV720911 HSR720910:HSR720911 ICN720910:ICN720911 IMJ720910:IMJ720911 IWF720910:IWF720911 JGB720910:JGB720911 JPX720910:JPX720911 JZT720910:JZT720911 KJP720910:KJP720911 KTL720910:KTL720911 LDH720910:LDH720911 LND720910:LND720911 LWZ720910:LWZ720911 MGV720910:MGV720911 MQR720910:MQR720911 NAN720910:NAN720911 NKJ720910:NKJ720911 NUF720910:NUF720911 OEB720910:OEB720911 ONX720910:ONX720911 OXT720910:OXT720911 PHP720910:PHP720911 PRL720910:PRL720911 QBH720910:QBH720911 QLD720910:QLD720911 QUZ720910:QUZ720911 REV720910:REV720911 ROR720910:ROR720911 RYN720910:RYN720911 SIJ720910:SIJ720911 SSF720910:SSF720911 TCB720910:TCB720911 TLX720910:TLX720911 TVT720910:TVT720911 UFP720910:UFP720911 UPL720910:UPL720911 UZH720910:UZH720911 VJD720910:VJD720911 VSZ720910:VSZ720911 WCV720910:WCV720911 WMR720910:WMR720911 WWN720910:WWN720911 AF786446:AF786447 KB786446:KB786447 TX786446:TX786447 ADT786446:ADT786447 ANP786446:ANP786447 AXL786446:AXL786447 BHH786446:BHH786447 BRD786446:BRD786447 CAZ786446:CAZ786447 CKV786446:CKV786447 CUR786446:CUR786447 DEN786446:DEN786447 DOJ786446:DOJ786447 DYF786446:DYF786447 EIB786446:EIB786447 ERX786446:ERX786447 FBT786446:FBT786447 FLP786446:FLP786447 FVL786446:FVL786447 GFH786446:GFH786447 GPD786446:GPD786447 GYZ786446:GYZ786447 HIV786446:HIV786447 HSR786446:HSR786447 ICN786446:ICN786447 IMJ786446:IMJ786447 IWF786446:IWF786447 JGB786446:JGB786447 JPX786446:JPX786447 JZT786446:JZT786447 KJP786446:KJP786447 KTL786446:KTL786447 LDH786446:LDH786447 LND786446:LND786447 LWZ786446:LWZ786447 MGV786446:MGV786447 MQR786446:MQR786447 NAN786446:NAN786447 NKJ786446:NKJ786447 NUF786446:NUF786447 OEB786446:OEB786447 ONX786446:ONX786447 OXT786446:OXT786447 PHP786446:PHP786447 PRL786446:PRL786447 QBH786446:QBH786447 QLD786446:QLD786447 QUZ786446:QUZ786447 REV786446:REV786447 ROR786446:ROR786447 RYN786446:RYN786447 SIJ786446:SIJ786447 SSF786446:SSF786447 TCB786446:TCB786447 TLX786446:TLX786447 TVT786446:TVT786447 UFP786446:UFP786447 UPL786446:UPL786447 UZH786446:UZH786447 VJD786446:VJD786447 VSZ786446:VSZ786447 WCV786446:WCV786447 WMR786446:WMR786447 WWN786446:WWN786447 AF851982:AF851983 KB851982:KB851983 TX851982:TX851983 ADT851982:ADT851983 ANP851982:ANP851983 AXL851982:AXL851983 BHH851982:BHH851983 BRD851982:BRD851983 CAZ851982:CAZ851983 CKV851982:CKV851983 CUR851982:CUR851983 DEN851982:DEN851983 DOJ851982:DOJ851983 DYF851982:DYF851983 EIB851982:EIB851983 ERX851982:ERX851983 FBT851982:FBT851983 FLP851982:FLP851983 FVL851982:FVL851983 GFH851982:GFH851983 GPD851982:GPD851983 GYZ851982:GYZ851983 HIV851982:HIV851983 HSR851982:HSR851983 ICN851982:ICN851983 IMJ851982:IMJ851983 IWF851982:IWF851983 JGB851982:JGB851983 JPX851982:JPX851983 JZT851982:JZT851983 KJP851982:KJP851983 KTL851982:KTL851983 LDH851982:LDH851983 LND851982:LND851983 LWZ851982:LWZ851983 MGV851982:MGV851983 MQR851982:MQR851983 NAN851982:NAN851983 NKJ851982:NKJ851983 NUF851982:NUF851983 OEB851982:OEB851983 ONX851982:ONX851983 OXT851982:OXT851983 PHP851982:PHP851983 PRL851982:PRL851983 QBH851982:QBH851983 QLD851982:QLD851983 QUZ851982:QUZ851983 REV851982:REV851983 ROR851982:ROR851983 RYN851982:RYN851983 SIJ851982:SIJ851983 SSF851982:SSF851983 TCB851982:TCB851983 TLX851982:TLX851983 TVT851982:TVT851983 UFP851982:UFP851983 UPL851982:UPL851983 UZH851982:UZH851983 VJD851982:VJD851983 VSZ851982:VSZ851983 WCV851982:WCV851983 WMR851982:WMR851983 WWN851982:WWN851983 AF917518:AF917519 KB917518:KB917519 TX917518:TX917519 ADT917518:ADT917519 ANP917518:ANP917519 AXL917518:AXL917519 BHH917518:BHH917519 BRD917518:BRD917519 CAZ917518:CAZ917519 CKV917518:CKV917519 CUR917518:CUR917519 DEN917518:DEN917519 DOJ917518:DOJ917519 DYF917518:DYF917519 EIB917518:EIB917519 ERX917518:ERX917519 FBT917518:FBT917519 FLP917518:FLP917519 FVL917518:FVL917519 GFH917518:GFH917519 GPD917518:GPD917519 GYZ917518:GYZ917519 HIV917518:HIV917519 HSR917518:HSR917519 ICN917518:ICN917519 IMJ917518:IMJ917519 IWF917518:IWF917519 JGB917518:JGB917519 JPX917518:JPX917519 JZT917518:JZT917519 KJP917518:KJP917519 KTL917518:KTL917519 LDH917518:LDH917519 LND917518:LND917519 LWZ917518:LWZ917519 MGV917518:MGV917519 MQR917518:MQR917519 NAN917518:NAN917519 NKJ917518:NKJ917519 NUF917518:NUF917519 OEB917518:OEB917519 ONX917518:ONX917519 OXT917518:OXT917519 PHP917518:PHP917519 PRL917518:PRL917519 QBH917518:QBH917519 QLD917518:QLD917519 QUZ917518:QUZ917519 REV917518:REV917519 ROR917518:ROR917519 RYN917518:RYN917519 SIJ917518:SIJ917519 SSF917518:SSF917519 TCB917518:TCB917519 TLX917518:TLX917519 TVT917518:TVT917519 UFP917518:UFP917519 UPL917518:UPL917519 UZH917518:UZH917519 VJD917518:VJD917519 VSZ917518:VSZ917519 WCV917518:WCV917519 WMR917518:WMR917519 WWN917518:WWN917519 AF983054:AF983055 KB983054:KB983055 TX983054:TX983055 ADT983054:ADT983055 ANP983054:ANP983055 AXL983054:AXL983055 BHH983054:BHH983055 BRD983054:BRD983055 CAZ983054:CAZ983055 CKV983054:CKV983055 CUR983054:CUR983055 DEN983054:DEN983055 DOJ983054:DOJ983055 DYF983054:DYF983055 EIB983054:EIB983055 ERX983054:ERX983055 FBT983054:FBT983055 FLP983054:FLP983055 FVL983054:FVL983055 GFH983054:GFH983055 GPD983054:GPD983055 GYZ983054:GYZ983055 HIV983054:HIV983055 HSR983054:HSR983055 ICN983054:ICN983055 IMJ983054:IMJ983055 IWF983054:IWF983055 JGB983054:JGB983055 JPX983054:JPX983055 JZT983054:JZT983055 KJP983054:KJP983055 KTL983054:KTL983055 LDH983054:LDH983055 LND983054:LND983055 LWZ983054:LWZ983055 MGV983054:MGV983055 MQR983054:MQR983055 NAN983054:NAN983055 NKJ983054:NKJ983055 NUF983054:NUF983055 OEB983054:OEB983055 ONX983054:ONX983055 OXT983054:OXT983055 PHP983054:PHP983055 PRL983054:PRL983055 QBH983054:QBH983055 QLD983054:QLD983055 QUZ983054:QUZ983055 REV983054:REV983055 ROR983054:ROR983055 RYN983054:RYN983055 SIJ983054:SIJ983055 SSF983054:SSF983055 TCB983054:TCB983055 TLX983054:TLX983055 TVT983054:TVT983055 UFP983054:UFP983055 UPL983054:UPL983055 UZH983054:UZH983055 VJD983054:VJD983055 VSZ983054:VSZ983055 WCV983054:WCV983055 KB10" xr:uid="{38570C08-4610-4235-B2E2-2AD9D0AD9C22}"/>
    <dataValidation allowBlank="1" showInputMessage="1" showErrorMessage="1" prompt="Performance tasks Weighted Score" sqref="WWM983054:WWM983156 ADS67:ADS116 ANO67:ANO116 AXK67:AXK116 BHG67:BHG116 BRC67:BRC116 CAY67:CAY116 CKU67:CKU116 CUQ67:CUQ116 DEM67:DEM116 DOI67:DOI116 DYE67:DYE116 EIA67:EIA116 ERW67:ERW116 FBS67:FBS116 FLO67:FLO116 FVK67:FVK116 GFG67:GFG116 GPC67:GPC116 GYY67:GYY116 HIU67:HIU116 HSQ67:HSQ116 ICM67:ICM116 IMI67:IMI116 IWE67:IWE116 JGA67:JGA116 JPW67:JPW116 JZS67:JZS116 KJO67:KJO116 KTK67:KTK116 LDG67:LDG116 LNC67:LNC116 LWY67:LWY116 MGU67:MGU116 MQQ67:MQQ116 NAM67:NAM116 NKI67:NKI116 NUE67:NUE116 OEA67:OEA116 ONW67:ONW116 OXS67:OXS116 PHO67:PHO116 PRK67:PRK116 QBG67:QBG116 QLC67:QLC116 QUY67:QUY116 REU67:REU116 ROQ67:ROQ116 RYM67:RYM116 SII67:SII116 SSE67:SSE116 TCA67:TCA116 TLW67:TLW116 TVS67:TVS116 UFO67:UFO116 UPK67:UPK116 UZG67:UZG116 VJC67:VJC116 VSY67:VSY116 WCU67:WCU116 WMQ67:WMQ116 WWM67:WWM116 KA67:KA116 WMQ983054:WMQ983156 AE65550:AE65652 KA65550:KA65652 TW65550:TW65652 ADS65550:ADS65652 ANO65550:ANO65652 AXK65550:AXK65652 BHG65550:BHG65652 BRC65550:BRC65652 CAY65550:CAY65652 CKU65550:CKU65652 CUQ65550:CUQ65652 DEM65550:DEM65652 DOI65550:DOI65652 DYE65550:DYE65652 EIA65550:EIA65652 ERW65550:ERW65652 FBS65550:FBS65652 FLO65550:FLO65652 FVK65550:FVK65652 GFG65550:GFG65652 GPC65550:GPC65652 GYY65550:GYY65652 HIU65550:HIU65652 HSQ65550:HSQ65652 ICM65550:ICM65652 IMI65550:IMI65652 IWE65550:IWE65652 JGA65550:JGA65652 JPW65550:JPW65652 JZS65550:JZS65652 KJO65550:KJO65652 KTK65550:KTK65652 LDG65550:LDG65652 LNC65550:LNC65652 LWY65550:LWY65652 MGU65550:MGU65652 MQQ65550:MQQ65652 NAM65550:NAM65652 NKI65550:NKI65652 NUE65550:NUE65652 OEA65550:OEA65652 ONW65550:ONW65652 OXS65550:OXS65652 PHO65550:PHO65652 PRK65550:PRK65652 QBG65550:QBG65652 QLC65550:QLC65652 QUY65550:QUY65652 REU65550:REU65652 ROQ65550:ROQ65652 RYM65550:RYM65652 SII65550:SII65652 SSE65550:SSE65652 TCA65550:TCA65652 TLW65550:TLW65652 TVS65550:TVS65652 UFO65550:UFO65652 UPK65550:UPK65652 UZG65550:UZG65652 VJC65550:VJC65652 VSY65550:VSY65652 WCU65550:WCU65652 WMQ65550:WMQ65652 WWM65550:WWM65652 AE131086:AE131188 KA131086:KA131188 TW131086:TW131188 ADS131086:ADS131188 ANO131086:ANO131188 AXK131086:AXK131188 BHG131086:BHG131188 BRC131086:BRC131188 CAY131086:CAY131188 CKU131086:CKU131188 CUQ131086:CUQ131188 DEM131086:DEM131188 DOI131086:DOI131188 DYE131086:DYE131188 EIA131086:EIA131188 ERW131086:ERW131188 FBS131086:FBS131188 FLO131086:FLO131188 FVK131086:FVK131188 GFG131086:GFG131188 GPC131086:GPC131188 GYY131086:GYY131188 HIU131086:HIU131188 HSQ131086:HSQ131188 ICM131086:ICM131188 IMI131086:IMI131188 IWE131086:IWE131188 JGA131086:JGA131188 JPW131086:JPW131188 JZS131086:JZS131188 KJO131086:KJO131188 KTK131086:KTK131188 LDG131086:LDG131188 LNC131086:LNC131188 LWY131086:LWY131188 MGU131086:MGU131188 MQQ131086:MQQ131188 NAM131086:NAM131188 NKI131086:NKI131188 NUE131086:NUE131188 OEA131086:OEA131188 ONW131086:ONW131188 OXS131086:OXS131188 PHO131086:PHO131188 PRK131086:PRK131188 QBG131086:QBG131188 QLC131086:QLC131188 QUY131086:QUY131188 REU131086:REU131188 ROQ131086:ROQ131188 RYM131086:RYM131188 SII131086:SII131188 SSE131086:SSE131188 TCA131086:TCA131188 TLW131086:TLW131188 TVS131086:TVS131188 UFO131086:UFO131188 UPK131086:UPK131188 UZG131086:UZG131188 VJC131086:VJC131188 VSY131086:VSY131188 WCU131086:WCU131188 WMQ131086:WMQ131188 WWM131086:WWM131188 AE196622:AE196724 KA196622:KA196724 TW196622:TW196724 ADS196622:ADS196724 ANO196622:ANO196724 AXK196622:AXK196724 BHG196622:BHG196724 BRC196622:BRC196724 CAY196622:CAY196724 CKU196622:CKU196724 CUQ196622:CUQ196724 DEM196622:DEM196724 DOI196622:DOI196724 DYE196622:DYE196724 EIA196622:EIA196724 ERW196622:ERW196724 FBS196622:FBS196724 FLO196622:FLO196724 FVK196622:FVK196724 GFG196622:GFG196724 GPC196622:GPC196724 GYY196622:GYY196724 HIU196622:HIU196724 HSQ196622:HSQ196724 ICM196622:ICM196724 IMI196622:IMI196724 IWE196622:IWE196724 JGA196622:JGA196724 JPW196622:JPW196724 JZS196622:JZS196724 KJO196622:KJO196724 KTK196622:KTK196724 LDG196622:LDG196724 LNC196622:LNC196724 LWY196622:LWY196724 MGU196622:MGU196724 MQQ196622:MQQ196724 NAM196622:NAM196724 NKI196622:NKI196724 NUE196622:NUE196724 OEA196622:OEA196724 ONW196622:ONW196724 OXS196622:OXS196724 PHO196622:PHO196724 PRK196622:PRK196724 QBG196622:QBG196724 QLC196622:QLC196724 QUY196622:QUY196724 REU196622:REU196724 ROQ196622:ROQ196724 RYM196622:RYM196724 SII196622:SII196724 SSE196622:SSE196724 TCA196622:TCA196724 TLW196622:TLW196724 TVS196622:TVS196724 UFO196622:UFO196724 UPK196622:UPK196724 UZG196622:UZG196724 VJC196622:VJC196724 VSY196622:VSY196724 WCU196622:WCU196724 WMQ196622:WMQ196724 WWM196622:WWM196724 AE262158:AE262260 KA262158:KA262260 TW262158:TW262260 ADS262158:ADS262260 ANO262158:ANO262260 AXK262158:AXK262260 BHG262158:BHG262260 BRC262158:BRC262260 CAY262158:CAY262260 CKU262158:CKU262260 CUQ262158:CUQ262260 DEM262158:DEM262260 DOI262158:DOI262260 DYE262158:DYE262260 EIA262158:EIA262260 ERW262158:ERW262260 FBS262158:FBS262260 FLO262158:FLO262260 FVK262158:FVK262260 GFG262158:GFG262260 GPC262158:GPC262260 GYY262158:GYY262260 HIU262158:HIU262260 HSQ262158:HSQ262260 ICM262158:ICM262260 IMI262158:IMI262260 IWE262158:IWE262260 JGA262158:JGA262260 JPW262158:JPW262260 JZS262158:JZS262260 KJO262158:KJO262260 KTK262158:KTK262260 LDG262158:LDG262260 LNC262158:LNC262260 LWY262158:LWY262260 MGU262158:MGU262260 MQQ262158:MQQ262260 NAM262158:NAM262260 NKI262158:NKI262260 NUE262158:NUE262260 OEA262158:OEA262260 ONW262158:ONW262260 OXS262158:OXS262260 PHO262158:PHO262260 PRK262158:PRK262260 QBG262158:QBG262260 QLC262158:QLC262260 QUY262158:QUY262260 REU262158:REU262260 ROQ262158:ROQ262260 RYM262158:RYM262260 SII262158:SII262260 SSE262158:SSE262260 TCA262158:TCA262260 TLW262158:TLW262260 TVS262158:TVS262260 UFO262158:UFO262260 UPK262158:UPK262260 UZG262158:UZG262260 VJC262158:VJC262260 VSY262158:VSY262260 WCU262158:WCU262260 WMQ262158:WMQ262260 WWM262158:WWM262260 AE327694:AE327796 KA327694:KA327796 TW327694:TW327796 ADS327694:ADS327796 ANO327694:ANO327796 AXK327694:AXK327796 BHG327694:BHG327796 BRC327694:BRC327796 CAY327694:CAY327796 CKU327694:CKU327796 CUQ327694:CUQ327796 DEM327694:DEM327796 DOI327694:DOI327796 DYE327694:DYE327796 EIA327694:EIA327796 ERW327694:ERW327796 FBS327694:FBS327796 FLO327694:FLO327796 FVK327694:FVK327796 GFG327694:GFG327796 GPC327694:GPC327796 GYY327694:GYY327796 HIU327694:HIU327796 HSQ327694:HSQ327796 ICM327694:ICM327796 IMI327694:IMI327796 IWE327694:IWE327796 JGA327694:JGA327796 JPW327694:JPW327796 JZS327694:JZS327796 KJO327694:KJO327796 KTK327694:KTK327796 LDG327694:LDG327796 LNC327694:LNC327796 LWY327694:LWY327796 MGU327694:MGU327796 MQQ327694:MQQ327796 NAM327694:NAM327796 NKI327694:NKI327796 NUE327694:NUE327796 OEA327694:OEA327796 ONW327694:ONW327796 OXS327694:OXS327796 PHO327694:PHO327796 PRK327694:PRK327796 QBG327694:QBG327796 QLC327694:QLC327796 QUY327694:QUY327796 REU327694:REU327796 ROQ327694:ROQ327796 RYM327694:RYM327796 SII327694:SII327796 SSE327694:SSE327796 TCA327694:TCA327796 TLW327694:TLW327796 TVS327694:TVS327796 UFO327694:UFO327796 UPK327694:UPK327796 UZG327694:UZG327796 VJC327694:VJC327796 VSY327694:VSY327796 WCU327694:WCU327796 WMQ327694:WMQ327796 WWM327694:WWM327796 AE393230:AE393332 KA393230:KA393332 TW393230:TW393332 ADS393230:ADS393332 ANO393230:ANO393332 AXK393230:AXK393332 BHG393230:BHG393332 BRC393230:BRC393332 CAY393230:CAY393332 CKU393230:CKU393332 CUQ393230:CUQ393332 DEM393230:DEM393332 DOI393230:DOI393332 DYE393230:DYE393332 EIA393230:EIA393332 ERW393230:ERW393332 FBS393230:FBS393332 FLO393230:FLO393332 FVK393230:FVK393332 GFG393230:GFG393332 GPC393230:GPC393332 GYY393230:GYY393332 HIU393230:HIU393332 HSQ393230:HSQ393332 ICM393230:ICM393332 IMI393230:IMI393332 IWE393230:IWE393332 JGA393230:JGA393332 JPW393230:JPW393332 JZS393230:JZS393332 KJO393230:KJO393332 KTK393230:KTK393332 LDG393230:LDG393332 LNC393230:LNC393332 LWY393230:LWY393332 MGU393230:MGU393332 MQQ393230:MQQ393332 NAM393230:NAM393332 NKI393230:NKI393332 NUE393230:NUE393332 OEA393230:OEA393332 ONW393230:ONW393332 OXS393230:OXS393332 PHO393230:PHO393332 PRK393230:PRK393332 QBG393230:QBG393332 QLC393230:QLC393332 QUY393230:QUY393332 REU393230:REU393332 ROQ393230:ROQ393332 RYM393230:RYM393332 SII393230:SII393332 SSE393230:SSE393332 TCA393230:TCA393332 TLW393230:TLW393332 TVS393230:TVS393332 UFO393230:UFO393332 UPK393230:UPK393332 UZG393230:UZG393332 VJC393230:VJC393332 VSY393230:VSY393332 WCU393230:WCU393332 WMQ393230:WMQ393332 WWM393230:WWM393332 AE458766:AE458868 KA458766:KA458868 TW458766:TW458868 ADS458766:ADS458868 ANO458766:ANO458868 AXK458766:AXK458868 BHG458766:BHG458868 BRC458766:BRC458868 CAY458766:CAY458868 CKU458766:CKU458868 CUQ458766:CUQ458868 DEM458766:DEM458868 DOI458766:DOI458868 DYE458766:DYE458868 EIA458766:EIA458868 ERW458766:ERW458868 FBS458766:FBS458868 FLO458766:FLO458868 FVK458766:FVK458868 GFG458766:GFG458868 GPC458766:GPC458868 GYY458766:GYY458868 HIU458766:HIU458868 HSQ458766:HSQ458868 ICM458766:ICM458868 IMI458766:IMI458868 IWE458766:IWE458868 JGA458766:JGA458868 JPW458766:JPW458868 JZS458766:JZS458868 KJO458766:KJO458868 KTK458766:KTK458868 LDG458766:LDG458868 LNC458766:LNC458868 LWY458766:LWY458868 MGU458766:MGU458868 MQQ458766:MQQ458868 NAM458766:NAM458868 NKI458766:NKI458868 NUE458766:NUE458868 OEA458766:OEA458868 ONW458766:ONW458868 OXS458766:OXS458868 PHO458766:PHO458868 PRK458766:PRK458868 QBG458766:QBG458868 QLC458766:QLC458868 QUY458766:QUY458868 REU458766:REU458868 ROQ458766:ROQ458868 RYM458766:RYM458868 SII458766:SII458868 SSE458766:SSE458868 TCA458766:TCA458868 TLW458766:TLW458868 TVS458766:TVS458868 UFO458766:UFO458868 UPK458766:UPK458868 UZG458766:UZG458868 VJC458766:VJC458868 VSY458766:VSY458868 WCU458766:WCU458868 WMQ458766:WMQ458868 WWM458766:WWM458868 AE524302:AE524404 KA524302:KA524404 TW524302:TW524404 ADS524302:ADS524404 ANO524302:ANO524404 AXK524302:AXK524404 BHG524302:BHG524404 BRC524302:BRC524404 CAY524302:CAY524404 CKU524302:CKU524404 CUQ524302:CUQ524404 DEM524302:DEM524404 DOI524302:DOI524404 DYE524302:DYE524404 EIA524302:EIA524404 ERW524302:ERW524404 FBS524302:FBS524404 FLO524302:FLO524404 FVK524302:FVK524404 GFG524302:GFG524404 GPC524302:GPC524404 GYY524302:GYY524404 HIU524302:HIU524404 HSQ524302:HSQ524404 ICM524302:ICM524404 IMI524302:IMI524404 IWE524302:IWE524404 JGA524302:JGA524404 JPW524302:JPW524404 JZS524302:JZS524404 KJO524302:KJO524404 KTK524302:KTK524404 LDG524302:LDG524404 LNC524302:LNC524404 LWY524302:LWY524404 MGU524302:MGU524404 MQQ524302:MQQ524404 NAM524302:NAM524404 NKI524302:NKI524404 NUE524302:NUE524404 OEA524302:OEA524404 ONW524302:ONW524404 OXS524302:OXS524404 PHO524302:PHO524404 PRK524302:PRK524404 QBG524302:QBG524404 QLC524302:QLC524404 QUY524302:QUY524404 REU524302:REU524404 ROQ524302:ROQ524404 RYM524302:RYM524404 SII524302:SII524404 SSE524302:SSE524404 TCA524302:TCA524404 TLW524302:TLW524404 TVS524302:TVS524404 UFO524302:UFO524404 UPK524302:UPK524404 UZG524302:UZG524404 VJC524302:VJC524404 VSY524302:VSY524404 WCU524302:WCU524404 WMQ524302:WMQ524404 WWM524302:WWM524404 AE589838:AE589940 KA589838:KA589940 TW589838:TW589940 ADS589838:ADS589940 ANO589838:ANO589940 AXK589838:AXK589940 BHG589838:BHG589940 BRC589838:BRC589940 CAY589838:CAY589940 CKU589838:CKU589940 CUQ589838:CUQ589940 DEM589838:DEM589940 DOI589838:DOI589940 DYE589838:DYE589940 EIA589838:EIA589940 ERW589838:ERW589940 FBS589838:FBS589940 FLO589838:FLO589940 FVK589838:FVK589940 GFG589838:GFG589940 GPC589838:GPC589940 GYY589838:GYY589940 HIU589838:HIU589940 HSQ589838:HSQ589940 ICM589838:ICM589940 IMI589838:IMI589940 IWE589838:IWE589940 JGA589838:JGA589940 JPW589838:JPW589940 JZS589838:JZS589940 KJO589838:KJO589940 KTK589838:KTK589940 LDG589838:LDG589940 LNC589838:LNC589940 LWY589838:LWY589940 MGU589838:MGU589940 MQQ589838:MQQ589940 NAM589838:NAM589940 NKI589838:NKI589940 NUE589838:NUE589940 OEA589838:OEA589940 ONW589838:ONW589940 OXS589838:OXS589940 PHO589838:PHO589940 PRK589838:PRK589940 QBG589838:QBG589940 QLC589838:QLC589940 QUY589838:QUY589940 REU589838:REU589940 ROQ589838:ROQ589940 RYM589838:RYM589940 SII589838:SII589940 SSE589838:SSE589940 TCA589838:TCA589940 TLW589838:TLW589940 TVS589838:TVS589940 UFO589838:UFO589940 UPK589838:UPK589940 UZG589838:UZG589940 VJC589838:VJC589940 VSY589838:VSY589940 WCU589838:WCU589940 WMQ589838:WMQ589940 WWM589838:WWM589940 AE655374:AE655476 KA655374:KA655476 TW655374:TW655476 ADS655374:ADS655476 ANO655374:ANO655476 AXK655374:AXK655476 BHG655374:BHG655476 BRC655374:BRC655476 CAY655374:CAY655476 CKU655374:CKU655476 CUQ655374:CUQ655476 DEM655374:DEM655476 DOI655374:DOI655476 DYE655374:DYE655476 EIA655374:EIA655476 ERW655374:ERW655476 FBS655374:FBS655476 FLO655374:FLO655476 FVK655374:FVK655476 GFG655374:GFG655476 GPC655374:GPC655476 GYY655374:GYY655476 HIU655374:HIU655476 HSQ655374:HSQ655476 ICM655374:ICM655476 IMI655374:IMI655476 IWE655374:IWE655476 JGA655374:JGA655476 JPW655374:JPW655476 JZS655374:JZS655476 KJO655374:KJO655476 KTK655374:KTK655476 LDG655374:LDG655476 LNC655374:LNC655476 LWY655374:LWY655476 MGU655374:MGU655476 MQQ655374:MQQ655476 NAM655374:NAM655476 NKI655374:NKI655476 NUE655374:NUE655476 OEA655374:OEA655476 ONW655374:ONW655476 OXS655374:OXS655476 PHO655374:PHO655476 PRK655374:PRK655476 QBG655374:QBG655476 QLC655374:QLC655476 QUY655374:QUY655476 REU655374:REU655476 ROQ655374:ROQ655476 RYM655374:RYM655476 SII655374:SII655476 SSE655374:SSE655476 TCA655374:TCA655476 TLW655374:TLW655476 TVS655374:TVS655476 UFO655374:UFO655476 UPK655374:UPK655476 UZG655374:UZG655476 VJC655374:VJC655476 VSY655374:VSY655476 WCU655374:WCU655476 WMQ655374:WMQ655476 WWM655374:WWM655476 AE720910:AE721012 KA720910:KA721012 TW720910:TW721012 ADS720910:ADS721012 ANO720910:ANO721012 AXK720910:AXK721012 BHG720910:BHG721012 BRC720910:BRC721012 CAY720910:CAY721012 CKU720910:CKU721012 CUQ720910:CUQ721012 DEM720910:DEM721012 DOI720910:DOI721012 DYE720910:DYE721012 EIA720910:EIA721012 ERW720910:ERW721012 FBS720910:FBS721012 FLO720910:FLO721012 FVK720910:FVK721012 GFG720910:GFG721012 GPC720910:GPC721012 GYY720910:GYY721012 HIU720910:HIU721012 HSQ720910:HSQ721012 ICM720910:ICM721012 IMI720910:IMI721012 IWE720910:IWE721012 JGA720910:JGA721012 JPW720910:JPW721012 JZS720910:JZS721012 KJO720910:KJO721012 KTK720910:KTK721012 LDG720910:LDG721012 LNC720910:LNC721012 LWY720910:LWY721012 MGU720910:MGU721012 MQQ720910:MQQ721012 NAM720910:NAM721012 NKI720910:NKI721012 NUE720910:NUE721012 OEA720910:OEA721012 ONW720910:ONW721012 OXS720910:OXS721012 PHO720910:PHO721012 PRK720910:PRK721012 QBG720910:QBG721012 QLC720910:QLC721012 QUY720910:QUY721012 REU720910:REU721012 ROQ720910:ROQ721012 RYM720910:RYM721012 SII720910:SII721012 SSE720910:SSE721012 TCA720910:TCA721012 TLW720910:TLW721012 TVS720910:TVS721012 UFO720910:UFO721012 UPK720910:UPK721012 UZG720910:UZG721012 VJC720910:VJC721012 VSY720910:VSY721012 WCU720910:WCU721012 WMQ720910:WMQ721012 WWM720910:WWM721012 AE786446:AE786548 KA786446:KA786548 TW786446:TW786548 ADS786446:ADS786548 ANO786446:ANO786548 AXK786446:AXK786548 BHG786446:BHG786548 BRC786446:BRC786548 CAY786446:CAY786548 CKU786446:CKU786548 CUQ786446:CUQ786548 DEM786446:DEM786548 DOI786446:DOI786548 DYE786446:DYE786548 EIA786446:EIA786548 ERW786446:ERW786548 FBS786446:FBS786548 FLO786446:FLO786548 FVK786446:FVK786548 GFG786446:GFG786548 GPC786446:GPC786548 GYY786446:GYY786548 HIU786446:HIU786548 HSQ786446:HSQ786548 ICM786446:ICM786548 IMI786446:IMI786548 IWE786446:IWE786548 JGA786446:JGA786548 JPW786446:JPW786548 JZS786446:JZS786548 KJO786446:KJO786548 KTK786446:KTK786548 LDG786446:LDG786548 LNC786446:LNC786548 LWY786446:LWY786548 MGU786446:MGU786548 MQQ786446:MQQ786548 NAM786446:NAM786548 NKI786446:NKI786548 NUE786446:NUE786548 OEA786446:OEA786548 ONW786446:ONW786548 OXS786446:OXS786548 PHO786446:PHO786548 PRK786446:PRK786548 QBG786446:QBG786548 QLC786446:QLC786548 QUY786446:QUY786548 REU786446:REU786548 ROQ786446:ROQ786548 RYM786446:RYM786548 SII786446:SII786548 SSE786446:SSE786548 TCA786446:TCA786548 TLW786446:TLW786548 TVS786446:TVS786548 UFO786446:UFO786548 UPK786446:UPK786548 UZG786446:UZG786548 VJC786446:VJC786548 VSY786446:VSY786548 WCU786446:WCU786548 WMQ786446:WMQ786548 WWM786446:WWM786548 AE851982:AE852084 KA851982:KA852084 TW851982:TW852084 ADS851982:ADS852084 ANO851982:ANO852084 AXK851982:AXK852084 BHG851982:BHG852084 BRC851982:BRC852084 CAY851982:CAY852084 CKU851982:CKU852084 CUQ851982:CUQ852084 DEM851982:DEM852084 DOI851982:DOI852084 DYE851982:DYE852084 EIA851982:EIA852084 ERW851982:ERW852084 FBS851982:FBS852084 FLO851982:FLO852084 FVK851982:FVK852084 GFG851982:GFG852084 GPC851982:GPC852084 GYY851982:GYY852084 HIU851982:HIU852084 HSQ851982:HSQ852084 ICM851982:ICM852084 IMI851982:IMI852084 IWE851982:IWE852084 JGA851982:JGA852084 JPW851982:JPW852084 JZS851982:JZS852084 KJO851982:KJO852084 KTK851982:KTK852084 LDG851982:LDG852084 LNC851982:LNC852084 LWY851982:LWY852084 MGU851982:MGU852084 MQQ851982:MQQ852084 NAM851982:NAM852084 NKI851982:NKI852084 NUE851982:NUE852084 OEA851982:OEA852084 ONW851982:ONW852084 OXS851982:OXS852084 PHO851982:PHO852084 PRK851982:PRK852084 QBG851982:QBG852084 QLC851982:QLC852084 QUY851982:QUY852084 REU851982:REU852084 ROQ851982:ROQ852084 RYM851982:RYM852084 SII851982:SII852084 SSE851982:SSE852084 TCA851982:TCA852084 TLW851982:TLW852084 TVS851982:TVS852084 UFO851982:UFO852084 UPK851982:UPK852084 UZG851982:UZG852084 VJC851982:VJC852084 VSY851982:VSY852084 WCU851982:WCU852084 WMQ851982:WMQ852084 WWM851982:WWM852084 AE917518:AE917620 KA917518:KA917620 TW917518:TW917620 ADS917518:ADS917620 ANO917518:ANO917620 AXK917518:AXK917620 BHG917518:BHG917620 BRC917518:BRC917620 CAY917518:CAY917620 CKU917518:CKU917620 CUQ917518:CUQ917620 DEM917518:DEM917620 DOI917518:DOI917620 DYE917518:DYE917620 EIA917518:EIA917620 ERW917518:ERW917620 FBS917518:FBS917620 FLO917518:FLO917620 FVK917518:FVK917620 GFG917518:GFG917620 GPC917518:GPC917620 GYY917518:GYY917620 HIU917518:HIU917620 HSQ917518:HSQ917620 ICM917518:ICM917620 IMI917518:IMI917620 IWE917518:IWE917620 JGA917518:JGA917620 JPW917518:JPW917620 JZS917518:JZS917620 KJO917518:KJO917620 KTK917518:KTK917620 LDG917518:LDG917620 LNC917518:LNC917620 LWY917518:LWY917620 MGU917518:MGU917620 MQQ917518:MQQ917620 NAM917518:NAM917620 NKI917518:NKI917620 NUE917518:NUE917620 OEA917518:OEA917620 ONW917518:ONW917620 OXS917518:OXS917620 PHO917518:PHO917620 PRK917518:PRK917620 QBG917518:QBG917620 QLC917518:QLC917620 QUY917518:QUY917620 REU917518:REU917620 ROQ917518:ROQ917620 RYM917518:RYM917620 SII917518:SII917620 SSE917518:SSE917620 TCA917518:TCA917620 TLW917518:TLW917620 TVS917518:TVS917620 UFO917518:UFO917620 UPK917518:UPK917620 UZG917518:UZG917620 VJC917518:VJC917620 VSY917518:VSY917620 WCU917518:WCU917620 WMQ917518:WMQ917620 WWM917518:WWM917620 AE983054:AE983156 KA983054:KA983156 TW983054:TW983156 ADS983054:ADS983156 ANO983054:ANO983156 AXK983054:AXK983156 BHG983054:BHG983156 BRC983054:BRC983156 CAY983054:CAY983156 CKU983054:CKU983156 CUQ983054:CUQ983156 DEM983054:DEM983156 DOI983054:DOI983156 DYE983054:DYE983156 EIA983054:EIA983156 ERW983054:ERW983156 FBS983054:FBS983156 FLO983054:FLO983156 FVK983054:FVK983156 GFG983054:GFG983156 GPC983054:GPC983156 GYY983054:GYY983156 HIU983054:HIU983156 HSQ983054:HSQ983156 ICM983054:ICM983156 IMI983054:IMI983156 IWE983054:IWE983156 JGA983054:JGA983156 JPW983054:JPW983156 JZS983054:JZS983156 KJO983054:KJO983156 KTK983054:KTK983156 LDG983054:LDG983156 LNC983054:LNC983156 LWY983054:LWY983156 MGU983054:MGU983156 MQQ983054:MQQ983156 NAM983054:NAM983156 NKI983054:NKI983156 NUE983054:NUE983156 OEA983054:OEA983156 ONW983054:ONW983156 OXS983054:OXS983156 PHO983054:PHO983156 PRK983054:PRK983156 QBG983054:QBG983156 QLC983054:QLC983156 QUY983054:QUY983156 REU983054:REU983156 ROQ983054:ROQ983156 RYM983054:RYM983156 SII983054:SII983156 SSE983054:SSE983156 TCA983054:TCA983156 TLW983054:TLW983156 TVS983054:TVS983156 UFO983054:UFO983156 UPK983054:UPK983156 UZG983054:UZG983156 VJC983054:VJC983156 VSY983054:VSY983156 WCU983054:WCU983156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5 WWM12:WWM65 WMQ12:WMQ65 WCU12:WCU65 VSY12:VSY65 VJC12:VJC65 UZG12:UZG65 UPK12:UPK65 UFO12:UFO65 TVS12:TVS65 TLW12:TLW65 TCA12:TCA65 SSE12:SSE65 SII12:SII65 RYM12:RYM65 ROQ12:ROQ65 REU12:REU65 QUY12:QUY65 QLC12:QLC65 QBG12:QBG65 PRK12:PRK65 PHO12:PHO65 OXS12:OXS65 ONW12:ONW65 OEA12:OEA65 NUE12:NUE65 NKI12:NKI65 NAM12:NAM65 MQQ12:MQQ65 MGU12:MGU65 LWY12:LWY65 LNC12:LNC65 LDG12:LDG65 KTK12:KTK65 KJO12:KJO65 JZS12:JZS65 JPW12:JPW65 JGA12:JGA65 IWE12:IWE65 IMI12:IMI65 ICM12:ICM65 HSQ12:HSQ65 HIU12:HIU65 GYY12:GYY65 GPC12:GPC65 GFG12:GFG65 FVK12:FVK65 FLO12:FLO65 FBS12:FBS65 ERW12:ERW65 EIA12:EIA65 DYE12:DYE65 DOI12:DOI65 DEM12:DEM65 CUQ12:CUQ65 CKU12:CKU65 CAY12:CAY65 BRC12:BRC65 BHG12:BHG65 AXK12:AXK65 ANO12:ANO65 ADS12:ADS65 TW12:TW65 TW67:TW116" xr:uid="{A15EAB76-0930-490E-8DC1-6C6C3A1EDA47}"/>
    <dataValidation allowBlank="1" showInputMessage="1" showErrorMessage="1" prompt="Performance Tasks Percentage Score" sqref="WWL983054:WWL983156 ADR67:ADR116 ANN67:ANN116 AXJ67:AXJ116 BHF67:BHF116 BRB67:BRB116 CAX67:CAX116 CKT67:CKT116 CUP67:CUP116 DEL67:DEL116 DOH67:DOH116 DYD67:DYD116 EHZ67:EHZ116 ERV67:ERV116 FBR67:FBR116 FLN67:FLN116 FVJ67:FVJ116 GFF67:GFF116 GPB67:GPB116 GYX67:GYX116 HIT67:HIT116 HSP67:HSP116 ICL67:ICL116 IMH67:IMH116 IWD67:IWD116 JFZ67:JFZ116 JPV67:JPV116 JZR67:JZR116 KJN67:KJN116 KTJ67:KTJ116 LDF67:LDF116 LNB67:LNB116 LWX67:LWX116 MGT67:MGT116 MQP67:MQP116 NAL67:NAL116 NKH67:NKH116 NUD67:NUD116 ODZ67:ODZ116 ONV67:ONV116 OXR67:OXR116 PHN67:PHN116 PRJ67:PRJ116 QBF67:QBF116 QLB67:QLB116 QUX67:QUX116 RET67:RET116 ROP67:ROP116 RYL67:RYL116 SIH67:SIH116 SSD67:SSD116 TBZ67:TBZ116 TLV67:TLV116 TVR67:TVR116 UFN67:UFN116 UPJ67:UPJ116 UZF67:UZF116 VJB67:VJB116 VSX67:VSX116 WCT67:WCT116 WMP67:WMP116 WWL67:WWL116 JZ67:JZ116 WMP983054:WMP983156 AD65550:AD65652 JZ65550:JZ65652 TV65550:TV65652 ADR65550:ADR65652 ANN65550:ANN65652 AXJ65550:AXJ65652 BHF65550:BHF65652 BRB65550:BRB65652 CAX65550:CAX65652 CKT65550:CKT65652 CUP65550:CUP65652 DEL65550:DEL65652 DOH65550:DOH65652 DYD65550:DYD65652 EHZ65550:EHZ65652 ERV65550:ERV65652 FBR65550:FBR65652 FLN65550:FLN65652 FVJ65550:FVJ65652 GFF65550:GFF65652 GPB65550:GPB65652 GYX65550:GYX65652 HIT65550:HIT65652 HSP65550:HSP65652 ICL65550:ICL65652 IMH65550:IMH65652 IWD65550:IWD65652 JFZ65550:JFZ65652 JPV65550:JPV65652 JZR65550:JZR65652 KJN65550:KJN65652 KTJ65550:KTJ65652 LDF65550:LDF65652 LNB65550:LNB65652 LWX65550:LWX65652 MGT65550:MGT65652 MQP65550:MQP65652 NAL65550:NAL65652 NKH65550:NKH65652 NUD65550:NUD65652 ODZ65550:ODZ65652 ONV65550:ONV65652 OXR65550:OXR65652 PHN65550:PHN65652 PRJ65550:PRJ65652 QBF65550:QBF65652 QLB65550:QLB65652 QUX65550:QUX65652 RET65550:RET65652 ROP65550:ROP65652 RYL65550:RYL65652 SIH65550:SIH65652 SSD65550:SSD65652 TBZ65550:TBZ65652 TLV65550:TLV65652 TVR65550:TVR65652 UFN65550:UFN65652 UPJ65550:UPJ65652 UZF65550:UZF65652 VJB65550:VJB65652 VSX65550:VSX65652 WCT65550:WCT65652 WMP65550:WMP65652 WWL65550:WWL65652 AD131086:AD131188 JZ131086:JZ131188 TV131086:TV131188 ADR131086:ADR131188 ANN131086:ANN131188 AXJ131086:AXJ131188 BHF131086:BHF131188 BRB131086:BRB131188 CAX131086:CAX131188 CKT131086:CKT131188 CUP131086:CUP131188 DEL131086:DEL131188 DOH131086:DOH131188 DYD131086:DYD131188 EHZ131086:EHZ131188 ERV131086:ERV131188 FBR131086:FBR131188 FLN131086:FLN131188 FVJ131086:FVJ131188 GFF131086:GFF131188 GPB131086:GPB131188 GYX131086:GYX131188 HIT131086:HIT131188 HSP131086:HSP131188 ICL131086:ICL131188 IMH131086:IMH131188 IWD131086:IWD131188 JFZ131086:JFZ131188 JPV131086:JPV131188 JZR131086:JZR131188 KJN131086:KJN131188 KTJ131086:KTJ131188 LDF131086:LDF131188 LNB131086:LNB131188 LWX131086:LWX131188 MGT131086:MGT131188 MQP131086:MQP131188 NAL131086:NAL131188 NKH131086:NKH131188 NUD131086:NUD131188 ODZ131086:ODZ131188 ONV131086:ONV131188 OXR131086:OXR131188 PHN131086:PHN131188 PRJ131086:PRJ131188 QBF131086:QBF131188 QLB131086:QLB131188 QUX131086:QUX131188 RET131086:RET131188 ROP131086:ROP131188 RYL131086:RYL131188 SIH131086:SIH131188 SSD131086:SSD131188 TBZ131086:TBZ131188 TLV131086:TLV131188 TVR131086:TVR131188 UFN131086:UFN131188 UPJ131086:UPJ131188 UZF131086:UZF131188 VJB131086:VJB131188 VSX131086:VSX131188 WCT131086:WCT131188 WMP131086:WMP131188 WWL131086:WWL131188 AD196622:AD196724 JZ196622:JZ196724 TV196622:TV196724 ADR196622:ADR196724 ANN196622:ANN196724 AXJ196622:AXJ196724 BHF196622:BHF196724 BRB196622:BRB196724 CAX196622:CAX196724 CKT196622:CKT196724 CUP196622:CUP196724 DEL196622:DEL196724 DOH196622:DOH196724 DYD196622:DYD196724 EHZ196622:EHZ196724 ERV196622:ERV196724 FBR196622:FBR196724 FLN196622:FLN196724 FVJ196622:FVJ196724 GFF196622:GFF196724 GPB196622:GPB196724 GYX196622:GYX196724 HIT196622:HIT196724 HSP196622:HSP196724 ICL196622:ICL196724 IMH196622:IMH196724 IWD196622:IWD196724 JFZ196622:JFZ196724 JPV196622:JPV196724 JZR196622:JZR196724 KJN196622:KJN196724 KTJ196622:KTJ196724 LDF196622:LDF196724 LNB196622:LNB196724 LWX196622:LWX196724 MGT196622:MGT196724 MQP196622:MQP196724 NAL196622:NAL196724 NKH196622:NKH196724 NUD196622:NUD196724 ODZ196622:ODZ196724 ONV196622:ONV196724 OXR196622:OXR196724 PHN196622:PHN196724 PRJ196622:PRJ196724 QBF196622:QBF196724 QLB196622:QLB196724 QUX196622:QUX196724 RET196622:RET196724 ROP196622:ROP196724 RYL196622:RYL196724 SIH196622:SIH196724 SSD196622:SSD196724 TBZ196622:TBZ196724 TLV196622:TLV196724 TVR196622:TVR196724 UFN196622:UFN196724 UPJ196622:UPJ196724 UZF196622:UZF196724 VJB196622:VJB196724 VSX196622:VSX196724 WCT196622:WCT196724 WMP196622:WMP196724 WWL196622:WWL196724 AD262158:AD262260 JZ262158:JZ262260 TV262158:TV262260 ADR262158:ADR262260 ANN262158:ANN262260 AXJ262158:AXJ262260 BHF262158:BHF262260 BRB262158:BRB262260 CAX262158:CAX262260 CKT262158:CKT262260 CUP262158:CUP262260 DEL262158:DEL262260 DOH262158:DOH262260 DYD262158:DYD262260 EHZ262158:EHZ262260 ERV262158:ERV262260 FBR262158:FBR262260 FLN262158:FLN262260 FVJ262158:FVJ262260 GFF262158:GFF262260 GPB262158:GPB262260 GYX262158:GYX262260 HIT262158:HIT262260 HSP262158:HSP262260 ICL262158:ICL262260 IMH262158:IMH262260 IWD262158:IWD262260 JFZ262158:JFZ262260 JPV262158:JPV262260 JZR262158:JZR262260 KJN262158:KJN262260 KTJ262158:KTJ262260 LDF262158:LDF262260 LNB262158:LNB262260 LWX262158:LWX262260 MGT262158:MGT262260 MQP262158:MQP262260 NAL262158:NAL262260 NKH262158:NKH262260 NUD262158:NUD262260 ODZ262158:ODZ262260 ONV262158:ONV262260 OXR262158:OXR262260 PHN262158:PHN262260 PRJ262158:PRJ262260 QBF262158:QBF262260 QLB262158:QLB262260 QUX262158:QUX262260 RET262158:RET262260 ROP262158:ROP262260 RYL262158:RYL262260 SIH262158:SIH262260 SSD262158:SSD262260 TBZ262158:TBZ262260 TLV262158:TLV262260 TVR262158:TVR262260 UFN262158:UFN262260 UPJ262158:UPJ262260 UZF262158:UZF262260 VJB262158:VJB262260 VSX262158:VSX262260 WCT262158:WCT262260 WMP262158:WMP262260 WWL262158:WWL262260 AD327694:AD327796 JZ327694:JZ327796 TV327694:TV327796 ADR327694:ADR327796 ANN327694:ANN327796 AXJ327694:AXJ327796 BHF327694:BHF327796 BRB327694:BRB327796 CAX327694:CAX327796 CKT327694:CKT327796 CUP327694:CUP327796 DEL327694:DEL327796 DOH327694:DOH327796 DYD327694:DYD327796 EHZ327694:EHZ327796 ERV327694:ERV327796 FBR327694:FBR327796 FLN327694:FLN327796 FVJ327694:FVJ327796 GFF327694:GFF327796 GPB327694:GPB327796 GYX327694:GYX327796 HIT327694:HIT327796 HSP327694:HSP327796 ICL327694:ICL327796 IMH327694:IMH327796 IWD327694:IWD327796 JFZ327694:JFZ327796 JPV327694:JPV327796 JZR327694:JZR327796 KJN327694:KJN327796 KTJ327694:KTJ327796 LDF327694:LDF327796 LNB327694:LNB327796 LWX327694:LWX327796 MGT327694:MGT327796 MQP327694:MQP327796 NAL327694:NAL327796 NKH327694:NKH327796 NUD327694:NUD327796 ODZ327694:ODZ327796 ONV327694:ONV327796 OXR327694:OXR327796 PHN327694:PHN327796 PRJ327694:PRJ327796 QBF327694:QBF327796 QLB327694:QLB327796 QUX327694:QUX327796 RET327694:RET327796 ROP327694:ROP327796 RYL327694:RYL327796 SIH327694:SIH327796 SSD327694:SSD327796 TBZ327694:TBZ327796 TLV327694:TLV327796 TVR327694:TVR327796 UFN327694:UFN327796 UPJ327694:UPJ327796 UZF327694:UZF327796 VJB327694:VJB327796 VSX327694:VSX327796 WCT327694:WCT327796 WMP327694:WMP327796 WWL327694:WWL327796 AD393230:AD393332 JZ393230:JZ393332 TV393230:TV393332 ADR393230:ADR393332 ANN393230:ANN393332 AXJ393230:AXJ393332 BHF393230:BHF393332 BRB393230:BRB393332 CAX393230:CAX393332 CKT393230:CKT393332 CUP393230:CUP393332 DEL393230:DEL393332 DOH393230:DOH393332 DYD393230:DYD393332 EHZ393230:EHZ393332 ERV393230:ERV393332 FBR393230:FBR393332 FLN393230:FLN393332 FVJ393230:FVJ393332 GFF393230:GFF393332 GPB393230:GPB393332 GYX393230:GYX393332 HIT393230:HIT393332 HSP393230:HSP393332 ICL393230:ICL393332 IMH393230:IMH393332 IWD393230:IWD393332 JFZ393230:JFZ393332 JPV393230:JPV393332 JZR393230:JZR393332 KJN393230:KJN393332 KTJ393230:KTJ393332 LDF393230:LDF393332 LNB393230:LNB393332 LWX393230:LWX393332 MGT393230:MGT393332 MQP393230:MQP393332 NAL393230:NAL393332 NKH393230:NKH393332 NUD393230:NUD393332 ODZ393230:ODZ393332 ONV393230:ONV393332 OXR393230:OXR393332 PHN393230:PHN393332 PRJ393230:PRJ393332 QBF393230:QBF393332 QLB393230:QLB393332 QUX393230:QUX393332 RET393230:RET393332 ROP393230:ROP393332 RYL393230:RYL393332 SIH393230:SIH393332 SSD393230:SSD393332 TBZ393230:TBZ393332 TLV393230:TLV393332 TVR393230:TVR393332 UFN393230:UFN393332 UPJ393230:UPJ393332 UZF393230:UZF393332 VJB393230:VJB393332 VSX393230:VSX393332 WCT393230:WCT393332 WMP393230:WMP393332 WWL393230:WWL393332 AD458766:AD458868 JZ458766:JZ458868 TV458766:TV458868 ADR458766:ADR458868 ANN458766:ANN458868 AXJ458766:AXJ458868 BHF458766:BHF458868 BRB458766:BRB458868 CAX458766:CAX458868 CKT458766:CKT458868 CUP458766:CUP458868 DEL458766:DEL458868 DOH458766:DOH458868 DYD458766:DYD458868 EHZ458766:EHZ458868 ERV458766:ERV458868 FBR458766:FBR458868 FLN458766:FLN458868 FVJ458766:FVJ458868 GFF458766:GFF458868 GPB458766:GPB458868 GYX458766:GYX458868 HIT458766:HIT458868 HSP458766:HSP458868 ICL458766:ICL458868 IMH458766:IMH458868 IWD458766:IWD458868 JFZ458766:JFZ458868 JPV458766:JPV458868 JZR458766:JZR458868 KJN458766:KJN458868 KTJ458766:KTJ458868 LDF458766:LDF458868 LNB458766:LNB458868 LWX458766:LWX458868 MGT458766:MGT458868 MQP458766:MQP458868 NAL458766:NAL458868 NKH458766:NKH458868 NUD458766:NUD458868 ODZ458766:ODZ458868 ONV458766:ONV458868 OXR458766:OXR458868 PHN458766:PHN458868 PRJ458766:PRJ458868 QBF458766:QBF458868 QLB458766:QLB458868 QUX458766:QUX458868 RET458766:RET458868 ROP458766:ROP458868 RYL458766:RYL458868 SIH458766:SIH458868 SSD458766:SSD458868 TBZ458766:TBZ458868 TLV458766:TLV458868 TVR458766:TVR458868 UFN458766:UFN458868 UPJ458766:UPJ458868 UZF458766:UZF458868 VJB458766:VJB458868 VSX458766:VSX458868 WCT458766:WCT458868 WMP458766:WMP458868 WWL458766:WWL458868 AD524302:AD524404 JZ524302:JZ524404 TV524302:TV524404 ADR524302:ADR524404 ANN524302:ANN524404 AXJ524302:AXJ524404 BHF524302:BHF524404 BRB524302:BRB524404 CAX524302:CAX524404 CKT524302:CKT524404 CUP524302:CUP524404 DEL524302:DEL524404 DOH524302:DOH524404 DYD524302:DYD524404 EHZ524302:EHZ524404 ERV524302:ERV524404 FBR524302:FBR524404 FLN524302:FLN524404 FVJ524302:FVJ524404 GFF524302:GFF524404 GPB524302:GPB524404 GYX524302:GYX524404 HIT524302:HIT524404 HSP524302:HSP524404 ICL524302:ICL524404 IMH524302:IMH524404 IWD524302:IWD524404 JFZ524302:JFZ524404 JPV524302:JPV524404 JZR524302:JZR524404 KJN524302:KJN524404 KTJ524302:KTJ524404 LDF524302:LDF524404 LNB524302:LNB524404 LWX524302:LWX524404 MGT524302:MGT524404 MQP524302:MQP524404 NAL524302:NAL524404 NKH524302:NKH524404 NUD524302:NUD524404 ODZ524302:ODZ524404 ONV524302:ONV524404 OXR524302:OXR524404 PHN524302:PHN524404 PRJ524302:PRJ524404 QBF524302:QBF524404 QLB524302:QLB524404 QUX524302:QUX524404 RET524302:RET524404 ROP524302:ROP524404 RYL524302:RYL524404 SIH524302:SIH524404 SSD524302:SSD524404 TBZ524302:TBZ524404 TLV524302:TLV524404 TVR524302:TVR524404 UFN524302:UFN524404 UPJ524302:UPJ524404 UZF524302:UZF524404 VJB524302:VJB524404 VSX524302:VSX524404 WCT524302:WCT524404 WMP524302:WMP524404 WWL524302:WWL524404 AD589838:AD589940 JZ589838:JZ589940 TV589838:TV589940 ADR589838:ADR589940 ANN589838:ANN589940 AXJ589838:AXJ589940 BHF589838:BHF589940 BRB589838:BRB589940 CAX589838:CAX589940 CKT589838:CKT589940 CUP589838:CUP589940 DEL589838:DEL589940 DOH589838:DOH589940 DYD589838:DYD589940 EHZ589838:EHZ589940 ERV589838:ERV589940 FBR589838:FBR589940 FLN589838:FLN589940 FVJ589838:FVJ589940 GFF589838:GFF589940 GPB589838:GPB589940 GYX589838:GYX589940 HIT589838:HIT589940 HSP589838:HSP589940 ICL589838:ICL589940 IMH589838:IMH589940 IWD589838:IWD589940 JFZ589838:JFZ589940 JPV589838:JPV589940 JZR589838:JZR589940 KJN589838:KJN589940 KTJ589838:KTJ589940 LDF589838:LDF589940 LNB589838:LNB589940 LWX589838:LWX589940 MGT589838:MGT589940 MQP589838:MQP589940 NAL589838:NAL589940 NKH589838:NKH589940 NUD589838:NUD589940 ODZ589838:ODZ589940 ONV589838:ONV589940 OXR589838:OXR589940 PHN589838:PHN589940 PRJ589838:PRJ589940 QBF589838:QBF589940 QLB589838:QLB589940 QUX589838:QUX589940 RET589838:RET589940 ROP589838:ROP589940 RYL589838:RYL589940 SIH589838:SIH589940 SSD589838:SSD589940 TBZ589838:TBZ589940 TLV589838:TLV589940 TVR589838:TVR589940 UFN589838:UFN589940 UPJ589838:UPJ589940 UZF589838:UZF589940 VJB589838:VJB589940 VSX589838:VSX589940 WCT589838:WCT589940 WMP589838:WMP589940 WWL589838:WWL589940 AD655374:AD655476 JZ655374:JZ655476 TV655374:TV655476 ADR655374:ADR655476 ANN655374:ANN655476 AXJ655374:AXJ655476 BHF655374:BHF655476 BRB655374:BRB655476 CAX655374:CAX655476 CKT655374:CKT655476 CUP655374:CUP655476 DEL655374:DEL655476 DOH655374:DOH655476 DYD655374:DYD655476 EHZ655374:EHZ655476 ERV655374:ERV655476 FBR655374:FBR655476 FLN655374:FLN655476 FVJ655374:FVJ655476 GFF655374:GFF655476 GPB655374:GPB655476 GYX655374:GYX655476 HIT655374:HIT655476 HSP655374:HSP655476 ICL655374:ICL655476 IMH655374:IMH655476 IWD655374:IWD655476 JFZ655374:JFZ655476 JPV655374:JPV655476 JZR655374:JZR655476 KJN655374:KJN655476 KTJ655374:KTJ655476 LDF655374:LDF655476 LNB655374:LNB655476 LWX655374:LWX655476 MGT655374:MGT655476 MQP655374:MQP655476 NAL655374:NAL655476 NKH655374:NKH655476 NUD655374:NUD655476 ODZ655374:ODZ655476 ONV655374:ONV655476 OXR655374:OXR655476 PHN655374:PHN655476 PRJ655374:PRJ655476 QBF655374:QBF655476 QLB655374:QLB655476 QUX655374:QUX655476 RET655374:RET655476 ROP655374:ROP655476 RYL655374:RYL655476 SIH655374:SIH655476 SSD655374:SSD655476 TBZ655374:TBZ655476 TLV655374:TLV655476 TVR655374:TVR655476 UFN655374:UFN655476 UPJ655374:UPJ655476 UZF655374:UZF655476 VJB655374:VJB655476 VSX655374:VSX655476 WCT655374:WCT655476 WMP655374:WMP655476 WWL655374:WWL655476 AD720910:AD721012 JZ720910:JZ721012 TV720910:TV721012 ADR720910:ADR721012 ANN720910:ANN721012 AXJ720910:AXJ721012 BHF720910:BHF721012 BRB720910:BRB721012 CAX720910:CAX721012 CKT720910:CKT721012 CUP720910:CUP721012 DEL720910:DEL721012 DOH720910:DOH721012 DYD720910:DYD721012 EHZ720910:EHZ721012 ERV720910:ERV721012 FBR720910:FBR721012 FLN720910:FLN721012 FVJ720910:FVJ721012 GFF720910:GFF721012 GPB720910:GPB721012 GYX720910:GYX721012 HIT720910:HIT721012 HSP720910:HSP721012 ICL720910:ICL721012 IMH720910:IMH721012 IWD720910:IWD721012 JFZ720910:JFZ721012 JPV720910:JPV721012 JZR720910:JZR721012 KJN720910:KJN721012 KTJ720910:KTJ721012 LDF720910:LDF721012 LNB720910:LNB721012 LWX720910:LWX721012 MGT720910:MGT721012 MQP720910:MQP721012 NAL720910:NAL721012 NKH720910:NKH721012 NUD720910:NUD721012 ODZ720910:ODZ721012 ONV720910:ONV721012 OXR720910:OXR721012 PHN720910:PHN721012 PRJ720910:PRJ721012 QBF720910:QBF721012 QLB720910:QLB721012 QUX720910:QUX721012 RET720910:RET721012 ROP720910:ROP721012 RYL720910:RYL721012 SIH720910:SIH721012 SSD720910:SSD721012 TBZ720910:TBZ721012 TLV720910:TLV721012 TVR720910:TVR721012 UFN720910:UFN721012 UPJ720910:UPJ721012 UZF720910:UZF721012 VJB720910:VJB721012 VSX720910:VSX721012 WCT720910:WCT721012 WMP720910:WMP721012 WWL720910:WWL721012 AD786446:AD786548 JZ786446:JZ786548 TV786446:TV786548 ADR786446:ADR786548 ANN786446:ANN786548 AXJ786446:AXJ786548 BHF786446:BHF786548 BRB786446:BRB786548 CAX786446:CAX786548 CKT786446:CKT786548 CUP786446:CUP786548 DEL786446:DEL786548 DOH786446:DOH786548 DYD786446:DYD786548 EHZ786446:EHZ786548 ERV786446:ERV786548 FBR786446:FBR786548 FLN786446:FLN786548 FVJ786446:FVJ786548 GFF786446:GFF786548 GPB786446:GPB786548 GYX786446:GYX786548 HIT786446:HIT786548 HSP786446:HSP786548 ICL786446:ICL786548 IMH786446:IMH786548 IWD786446:IWD786548 JFZ786446:JFZ786548 JPV786446:JPV786548 JZR786446:JZR786548 KJN786446:KJN786548 KTJ786446:KTJ786548 LDF786446:LDF786548 LNB786446:LNB786548 LWX786446:LWX786548 MGT786446:MGT786548 MQP786446:MQP786548 NAL786446:NAL786548 NKH786446:NKH786548 NUD786446:NUD786548 ODZ786446:ODZ786548 ONV786446:ONV786548 OXR786446:OXR786548 PHN786446:PHN786548 PRJ786446:PRJ786548 QBF786446:QBF786548 QLB786446:QLB786548 QUX786446:QUX786548 RET786446:RET786548 ROP786446:ROP786548 RYL786446:RYL786548 SIH786446:SIH786548 SSD786446:SSD786548 TBZ786446:TBZ786548 TLV786446:TLV786548 TVR786446:TVR786548 UFN786446:UFN786548 UPJ786446:UPJ786548 UZF786446:UZF786548 VJB786446:VJB786548 VSX786446:VSX786548 WCT786446:WCT786548 WMP786446:WMP786548 WWL786446:WWL786548 AD851982:AD852084 JZ851982:JZ852084 TV851982:TV852084 ADR851982:ADR852084 ANN851982:ANN852084 AXJ851982:AXJ852084 BHF851982:BHF852084 BRB851982:BRB852084 CAX851982:CAX852084 CKT851982:CKT852084 CUP851982:CUP852084 DEL851982:DEL852084 DOH851982:DOH852084 DYD851982:DYD852084 EHZ851982:EHZ852084 ERV851982:ERV852084 FBR851982:FBR852084 FLN851982:FLN852084 FVJ851982:FVJ852084 GFF851982:GFF852084 GPB851982:GPB852084 GYX851982:GYX852084 HIT851982:HIT852084 HSP851982:HSP852084 ICL851982:ICL852084 IMH851982:IMH852084 IWD851982:IWD852084 JFZ851982:JFZ852084 JPV851982:JPV852084 JZR851982:JZR852084 KJN851982:KJN852084 KTJ851982:KTJ852084 LDF851982:LDF852084 LNB851982:LNB852084 LWX851982:LWX852084 MGT851982:MGT852084 MQP851982:MQP852084 NAL851982:NAL852084 NKH851982:NKH852084 NUD851982:NUD852084 ODZ851982:ODZ852084 ONV851982:ONV852084 OXR851982:OXR852084 PHN851982:PHN852084 PRJ851982:PRJ852084 QBF851982:QBF852084 QLB851982:QLB852084 QUX851982:QUX852084 RET851982:RET852084 ROP851982:ROP852084 RYL851982:RYL852084 SIH851982:SIH852084 SSD851982:SSD852084 TBZ851982:TBZ852084 TLV851982:TLV852084 TVR851982:TVR852084 UFN851982:UFN852084 UPJ851982:UPJ852084 UZF851982:UZF852084 VJB851982:VJB852084 VSX851982:VSX852084 WCT851982:WCT852084 WMP851982:WMP852084 WWL851982:WWL852084 AD917518:AD917620 JZ917518:JZ917620 TV917518:TV917620 ADR917518:ADR917620 ANN917518:ANN917620 AXJ917518:AXJ917620 BHF917518:BHF917620 BRB917518:BRB917620 CAX917518:CAX917620 CKT917518:CKT917620 CUP917518:CUP917620 DEL917518:DEL917620 DOH917518:DOH917620 DYD917518:DYD917620 EHZ917518:EHZ917620 ERV917518:ERV917620 FBR917518:FBR917620 FLN917518:FLN917620 FVJ917518:FVJ917620 GFF917518:GFF917620 GPB917518:GPB917620 GYX917518:GYX917620 HIT917518:HIT917620 HSP917518:HSP917620 ICL917518:ICL917620 IMH917518:IMH917620 IWD917518:IWD917620 JFZ917518:JFZ917620 JPV917518:JPV917620 JZR917518:JZR917620 KJN917518:KJN917620 KTJ917518:KTJ917620 LDF917518:LDF917620 LNB917518:LNB917620 LWX917518:LWX917620 MGT917518:MGT917620 MQP917518:MQP917620 NAL917518:NAL917620 NKH917518:NKH917620 NUD917518:NUD917620 ODZ917518:ODZ917620 ONV917518:ONV917620 OXR917518:OXR917620 PHN917518:PHN917620 PRJ917518:PRJ917620 QBF917518:QBF917620 QLB917518:QLB917620 QUX917518:QUX917620 RET917518:RET917620 ROP917518:ROP917620 RYL917518:RYL917620 SIH917518:SIH917620 SSD917518:SSD917620 TBZ917518:TBZ917620 TLV917518:TLV917620 TVR917518:TVR917620 UFN917518:UFN917620 UPJ917518:UPJ917620 UZF917518:UZF917620 VJB917518:VJB917620 VSX917518:VSX917620 WCT917518:WCT917620 WMP917518:WMP917620 WWL917518:WWL917620 AD983054:AD983156 JZ983054:JZ983156 TV983054:TV983156 ADR983054:ADR983156 ANN983054:ANN983156 AXJ983054:AXJ983156 BHF983054:BHF983156 BRB983054:BRB983156 CAX983054:CAX983156 CKT983054:CKT983156 CUP983054:CUP983156 DEL983054:DEL983156 DOH983054:DOH983156 DYD983054:DYD983156 EHZ983054:EHZ983156 ERV983054:ERV983156 FBR983054:FBR983156 FLN983054:FLN983156 FVJ983054:FVJ983156 GFF983054:GFF983156 GPB983054:GPB983156 GYX983054:GYX983156 HIT983054:HIT983156 HSP983054:HSP983156 ICL983054:ICL983156 IMH983054:IMH983156 IWD983054:IWD983156 JFZ983054:JFZ983156 JPV983054:JPV983156 JZR983054:JZR983156 KJN983054:KJN983156 KTJ983054:KTJ983156 LDF983054:LDF983156 LNB983054:LNB983156 LWX983054:LWX983156 MGT983054:MGT983156 MQP983054:MQP983156 NAL983054:NAL983156 NKH983054:NKH983156 NUD983054:NUD983156 ODZ983054:ODZ983156 ONV983054:ONV983156 OXR983054:OXR983156 PHN983054:PHN983156 PRJ983054:PRJ983156 QBF983054:QBF983156 QLB983054:QLB983156 QUX983054:QUX983156 RET983054:RET983156 ROP983054:ROP983156 RYL983054:RYL983156 SIH983054:SIH983156 SSD983054:SSD983156 TBZ983054:TBZ983156 TLV983054:TLV983156 TVR983054:TVR983156 UFN983054:UFN983156 UPJ983054:UPJ983156 UZF983054:UZF983156 VJB983054:VJB983156 VSX983054:VSX983156 WCT983054:WCT983156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5 WWL12:WWL65 WMP12:WMP65 WCT12:WCT65 VSX12:VSX65 VJB12:VJB65 UZF12:UZF65 UPJ12:UPJ65 UFN12:UFN65 TVR12:TVR65 TLV12:TLV65 TBZ12:TBZ65 SSD12:SSD65 SIH12:SIH65 RYL12:RYL65 ROP12:ROP65 RET12:RET65 QUX12:QUX65 QLB12:QLB65 QBF12:QBF65 PRJ12:PRJ65 PHN12:PHN65 OXR12:OXR65 ONV12:ONV65 ODZ12:ODZ65 NUD12:NUD65 NKH12:NKH65 NAL12:NAL65 MQP12:MQP65 MGT12:MGT65 LWX12:LWX65 LNB12:LNB65 LDF12:LDF65 KTJ12:KTJ65 KJN12:KJN65 JZR12:JZR65 JPV12:JPV65 JFZ12:JFZ65 IWD12:IWD65 IMH12:IMH65 ICL12:ICL65 HSP12:HSP65 HIT12:HIT65 GYX12:GYX65 GPB12:GPB65 GFF12:GFF65 FVJ12:FVJ65 FLN12:FLN65 FBR12:FBR65 ERV12:ERV65 EHZ12:EHZ65 DYD12:DYD65 DOH12:DOH65 DEL12:DEL65 CUP12:CUP65 CKT12:CKT65 CAX12:CAX65 BRB12:BRB65 BHF12:BHF65 AXJ12:AXJ65 ANN12:ANN65 ADR12:ADR65 TV12:TV65 TV67:TV116" xr:uid="{1195F3B9-1C6A-49AD-A662-5949DD1EE081}"/>
    <dataValidation allowBlank="1" showInputMessage="1" showErrorMessage="1" prompt="Performance Tasks Total Raw Score" sqref="WWK983056:WWK983156 TU67:TU116 ADQ67:ADQ116 ANM67:ANM116 AXI67:AXI116 BHE67:BHE116 BRA67:BRA116 CAW67:CAW116 CKS67:CKS116 CUO67:CUO116 DEK67:DEK116 DOG67:DOG116 DYC67:DYC116 EHY67:EHY116 ERU67:ERU116 FBQ67:FBQ116 FLM67:FLM116 FVI67:FVI116 GFE67:GFE116 GPA67:GPA116 GYW67:GYW116 HIS67:HIS116 HSO67:HSO116 ICK67:ICK116 IMG67:IMG116 IWC67:IWC116 JFY67:JFY116 JPU67:JPU116 JZQ67:JZQ116 KJM67:KJM116 KTI67:KTI116 LDE67:LDE116 LNA67:LNA116 LWW67:LWW116 MGS67:MGS116 MQO67:MQO116 NAK67:NAK116 NKG67:NKG116 NUC67:NUC116 ODY67:ODY116 ONU67:ONU116 OXQ67:OXQ116 PHM67:PHM116 PRI67:PRI116 QBE67:QBE116 QLA67:QLA116 QUW67:QUW116 RES67:RES116 ROO67:ROO116 RYK67:RYK116 SIG67:SIG116 SSC67:SSC116 TBY67:TBY116 TLU67:TLU116 TVQ67:TVQ116 UFM67:UFM116 UPI67:UPI116 UZE67:UZE116 VJA67:VJA116 VSW67:VSW116 WCS67:WCS116 WMO67:WMO116 WWK67:WWK116 WMO983056:WMO983156 AC65552:AC65652 JY65552:JY65652 TU65552:TU65652 ADQ65552:ADQ65652 ANM65552:ANM65652 AXI65552:AXI65652 BHE65552:BHE65652 BRA65552:BRA65652 CAW65552:CAW65652 CKS65552:CKS65652 CUO65552:CUO65652 DEK65552:DEK65652 DOG65552:DOG65652 DYC65552:DYC65652 EHY65552:EHY65652 ERU65552:ERU65652 FBQ65552:FBQ65652 FLM65552:FLM65652 FVI65552:FVI65652 GFE65552:GFE65652 GPA65552:GPA65652 GYW65552:GYW65652 HIS65552:HIS65652 HSO65552:HSO65652 ICK65552:ICK65652 IMG65552:IMG65652 IWC65552:IWC65652 JFY65552:JFY65652 JPU65552:JPU65652 JZQ65552:JZQ65652 KJM65552:KJM65652 KTI65552:KTI65652 LDE65552:LDE65652 LNA65552:LNA65652 LWW65552:LWW65652 MGS65552:MGS65652 MQO65552:MQO65652 NAK65552:NAK65652 NKG65552:NKG65652 NUC65552:NUC65652 ODY65552:ODY65652 ONU65552:ONU65652 OXQ65552:OXQ65652 PHM65552:PHM65652 PRI65552:PRI65652 QBE65552:QBE65652 QLA65552:QLA65652 QUW65552:QUW65652 RES65552:RES65652 ROO65552:ROO65652 RYK65552:RYK65652 SIG65552:SIG65652 SSC65552:SSC65652 TBY65552:TBY65652 TLU65552:TLU65652 TVQ65552:TVQ65652 UFM65552:UFM65652 UPI65552:UPI65652 UZE65552:UZE65652 VJA65552:VJA65652 VSW65552:VSW65652 WCS65552:WCS65652 WMO65552:WMO65652 WWK65552:WWK65652 AC131088:AC131188 JY131088:JY131188 TU131088:TU131188 ADQ131088:ADQ131188 ANM131088:ANM131188 AXI131088:AXI131188 BHE131088:BHE131188 BRA131088:BRA131188 CAW131088:CAW131188 CKS131088:CKS131188 CUO131088:CUO131188 DEK131088:DEK131188 DOG131088:DOG131188 DYC131088:DYC131188 EHY131088:EHY131188 ERU131088:ERU131188 FBQ131088:FBQ131188 FLM131088:FLM131188 FVI131088:FVI131188 GFE131088:GFE131188 GPA131088:GPA131188 GYW131088:GYW131188 HIS131088:HIS131188 HSO131088:HSO131188 ICK131088:ICK131188 IMG131088:IMG131188 IWC131088:IWC131188 JFY131088:JFY131188 JPU131088:JPU131188 JZQ131088:JZQ131188 KJM131088:KJM131188 KTI131088:KTI131188 LDE131088:LDE131188 LNA131088:LNA131188 LWW131088:LWW131188 MGS131088:MGS131188 MQO131088:MQO131188 NAK131088:NAK131188 NKG131088:NKG131188 NUC131088:NUC131188 ODY131088:ODY131188 ONU131088:ONU131188 OXQ131088:OXQ131188 PHM131088:PHM131188 PRI131088:PRI131188 QBE131088:QBE131188 QLA131088:QLA131188 QUW131088:QUW131188 RES131088:RES131188 ROO131088:ROO131188 RYK131088:RYK131188 SIG131088:SIG131188 SSC131088:SSC131188 TBY131088:TBY131188 TLU131088:TLU131188 TVQ131088:TVQ131188 UFM131088:UFM131188 UPI131088:UPI131188 UZE131088:UZE131188 VJA131088:VJA131188 VSW131088:VSW131188 WCS131088:WCS131188 WMO131088:WMO131188 WWK131088:WWK131188 AC196624:AC196724 JY196624:JY196724 TU196624:TU196724 ADQ196624:ADQ196724 ANM196624:ANM196724 AXI196624:AXI196724 BHE196624:BHE196724 BRA196624:BRA196724 CAW196624:CAW196724 CKS196624:CKS196724 CUO196624:CUO196724 DEK196624:DEK196724 DOG196624:DOG196724 DYC196624:DYC196724 EHY196624:EHY196724 ERU196624:ERU196724 FBQ196624:FBQ196724 FLM196624:FLM196724 FVI196624:FVI196724 GFE196624:GFE196724 GPA196624:GPA196724 GYW196624:GYW196724 HIS196624:HIS196724 HSO196624:HSO196724 ICK196624:ICK196724 IMG196624:IMG196724 IWC196624:IWC196724 JFY196624:JFY196724 JPU196624:JPU196724 JZQ196624:JZQ196724 KJM196624:KJM196724 KTI196624:KTI196724 LDE196624:LDE196724 LNA196624:LNA196724 LWW196624:LWW196724 MGS196624:MGS196724 MQO196624:MQO196724 NAK196624:NAK196724 NKG196624:NKG196724 NUC196624:NUC196724 ODY196624:ODY196724 ONU196624:ONU196724 OXQ196624:OXQ196724 PHM196624:PHM196724 PRI196624:PRI196724 QBE196624:QBE196724 QLA196624:QLA196724 QUW196624:QUW196724 RES196624:RES196724 ROO196624:ROO196724 RYK196624:RYK196724 SIG196624:SIG196724 SSC196624:SSC196724 TBY196624:TBY196724 TLU196624:TLU196724 TVQ196624:TVQ196724 UFM196624:UFM196724 UPI196624:UPI196724 UZE196624:UZE196724 VJA196624:VJA196724 VSW196624:VSW196724 WCS196624:WCS196724 WMO196624:WMO196724 WWK196624:WWK196724 AC262160:AC262260 JY262160:JY262260 TU262160:TU262260 ADQ262160:ADQ262260 ANM262160:ANM262260 AXI262160:AXI262260 BHE262160:BHE262260 BRA262160:BRA262260 CAW262160:CAW262260 CKS262160:CKS262260 CUO262160:CUO262260 DEK262160:DEK262260 DOG262160:DOG262260 DYC262160:DYC262260 EHY262160:EHY262260 ERU262160:ERU262260 FBQ262160:FBQ262260 FLM262160:FLM262260 FVI262160:FVI262260 GFE262160:GFE262260 GPA262160:GPA262260 GYW262160:GYW262260 HIS262160:HIS262260 HSO262160:HSO262260 ICK262160:ICK262260 IMG262160:IMG262260 IWC262160:IWC262260 JFY262160:JFY262260 JPU262160:JPU262260 JZQ262160:JZQ262260 KJM262160:KJM262260 KTI262160:KTI262260 LDE262160:LDE262260 LNA262160:LNA262260 LWW262160:LWW262260 MGS262160:MGS262260 MQO262160:MQO262260 NAK262160:NAK262260 NKG262160:NKG262260 NUC262160:NUC262260 ODY262160:ODY262260 ONU262160:ONU262260 OXQ262160:OXQ262260 PHM262160:PHM262260 PRI262160:PRI262260 QBE262160:QBE262260 QLA262160:QLA262260 QUW262160:QUW262260 RES262160:RES262260 ROO262160:ROO262260 RYK262160:RYK262260 SIG262160:SIG262260 SSC262160:SSC262260 TBY262160:TBY262260 TLU262160:TLU262260 TVQ262160:TVQ262260 UFM262160:UFM262260 UPI262160:UPI262260 UZE262160:UZE262260 VJA262160:VJA262260 VSW262160:VSW262260 WCS262160:WCS262260 WMO262160:WMO262260 WWK262160:WWK262260 AC327696:AC327796 JY327696:JY327796 TU327696:TU327796 ADQ327696:ADQ327796 ANM327696:ANM327796 AXI327696:AXI327796 BHE327696:BHE327796 BRA327696:BRA327796 CAW327696:CAW327796 CKS327696:CKS327796 CUO327696:CUO327796 DEK327696:DEK327796 DOG327696:DOG327796 DYC327696:DYC327796 EHY327696:EHY327796 ERU327696:ERU327796 FBQ327696:FBQ327796 FLM327696:FLM327796 FVI327696:FVI327796 GFE327696:GFE327796 GPA327696:GPA327796 GYW327696:GYW327796 HIS327696:HIS327796 HSO327696:HSO327796 ICK327696:ICK327796 IMG327696:IMG327796 IWC327696:IWC327796 JFY327696:JFY327796 JPU327696:JPU327796 JZQ327696:JZQ327796 KJM327696:KJM327796 KTI327696:KTI327796 LDE327696:LDE327796 LNA327696:LNA327796 LWW327696:LWW327796 MGS327696:MGS327796 MQO327696:MQO327796 NAK327696:NAK327796 NKG327696:NKG327796 NUC327696:NUC327796 ODY327696:ODY327796 ONU327696:ONU327796 OXQ327696:OXQ327796 PHM327696:PHM327796 PRI327696:PRI327796 QBE327696:QBE327796 QLA327696:QLA327796 QUW327696:QUW327796 RES327696:RES327796 ROO327696:ROO327796 RYK327696:RYK327796 SIG327696:SIG327796 SSC327696:SSC327796 TBY327696:TBY327796 TLU327696:TLU327796 TVQ327696:TVQ327796 UFM327696:UFM327796 UPI327696:UPI327796 UZE327696:UZE327796 VJA327696:VJA327796 VSW327696:VSW327796 WCS327696:WCS327796 WMO327696:WMO327796 WWK327696:WWK327796 AC393232:AC393332 JY393232:JY393332 TU393232:TU393332 ADQ393232:ADQ393332 ANM393232:ANM393332 AXI393232:AXI393332 BHE393232:BHE393332 BRA393232:BRA393332 CAW393232:CAW393332 CKS393232:CKS393332 CUO393232:CUO393332 DEK393232:DEK393332 DOG393232:DOG393332 DYC393232:DYC393332 EHY393232:EHY393332 ERU393232:ERU393332 FBQ393232:FBQ393332 FLM393232:FLM393332 FVI393232:FVI393332 GFE393232:GFE393332 GPA393232:GPA393332 GYW393232:GYW393332 HIS393232:HIS393332 HSO393232:HSO393332 ICK393232:ICK393332 IMG393232:IMG393332 IWC393232:IWC393332 JFY393232:JFY393332 JPU393232:JPU393332 JZQ393232:JZQ393332 KJM393232:KJM393332 KTI393232:KTI393332 LDE393232:LDE393332 LNA393232:LNA393332 LWW393232:LWW393332 MGS393232:MGS393332 MQO393232:MQO393332 NAK393232:NAK393332 NKG393232:NKG393332 NUC393232:NUC393332 ODY393232:ODY393332 ONU393232:ONU393332 OXQ393232:OXQ393332 PHM393232:PHM393332 PRI393232:PRI393332 QBE393232:QBE393332 QLA393232:QLA393332 QUW393232:QUW393332 RES393232:RES393332 ROO393232:ROO393332 RYK393232:RYK393332 SIG393232:SIG393332 SSC393232:SSC393332 TBY393232:TBY393332 TLU393232:TLU393332 TVQ393232:TVQ393332 UFM393232:UFM393332 UPI393232:UPI393332 UZE393232:UZE393332 VJA393232:VJA393332 VSW393232:VSW393332 WCS393232:WCS393332 WMO393232:WMO393332 WWK393232:WWK393332 AC458768:AC458868 JY458768:JY458868 TU458768:TU458868 ADQ458768:ADQ458868 ANM458768:ANM458868 AXI458768:AXI458868 BHE458768:BHE458868 BRA458768:BRA458868 CAW458768:CAW458868 CKS458768:CKS458868 CUO458768:CUO458868 DEK458768:DEK458868 DOG458768:DOG458868 DYC458768:DYC458868 EHY458768:EHY458868 ERU458768:ERU458868 FBQ458768:FBQ458868 FLM458768:FLM458868 FVI458768:FVI458868 GFE458768:GFE458868 GPA458768:GPA458868 GYW458768:GYW458868 HIS458768:HIS458868 HSO458768:HSO458868 ICK458768:ICK458868 IMG458768:IMG458868 IWC458768:IWC458868 JFY458768:JFY458868 JPU458768:JPU458868 JZQ458768:JZQ458868 KJM458768:KJM458868 KTI458768:KTI458868 LDE458768:LDE458868 LNA458768:LNA458868 LWW458768:LWW458868 MGS458768:MGS458868 MQO458768:MQO458868 NAK458768:NAK458868 NKG458768:NKG458868 NUC458768:NUC458868 ODY458768:ODY458868 ONU458768:ONU458868 OXQ458768:OXQ458868 PHM458768:PHM458868 PRI458768:PRI458868 QBE458768:QBE458868 QLA458768:QLA458868 QUW458768:QUW458868 RES458768:RES458868 ROO458768:ROO458868 RYK458768:RYK458868 SIG458768:SIG458868 SSC458768:SSC458868 TBY458768:TBY458868 TLU458768:TLU458868 TVQ458768:TVQ458868 UFM458768:UFM458868 UPI458768:UPI458868 UZE458768:UZE458868 VJA458768:VJA458868 VSW458768:VSW458868 WCS458768:WCS458868 WMO458768:WMO458868 WWK458768:WWK458868 AC524304:AC524404 JY524304:JY524404 TU524304:TU524404 ADQ524304:ADQ524404 ANM524304:ANM524404 AXI524304:AXI524404 BHE524304:BHE524404 BRA524304:BRA524404 CAW524304:CAW524404 CKS524304:CKS524404 CUO524304:CUO524404 DEK524304:DEK524404 DOG524304:DOG524404 DYC524304:DYC524404 EHY524304:EHY524404 ERU524304:ERU524404 FBQ524304:FBQ524404 FLM524304:FLM524404 FVI524304:FVI524404 GFE524304:GFE524404 GPA524304:GPA524404 GYW524304:GYW524404 HIS524304:HIS524404 HSO524304:HSO524404 ICK524304:ICK524404 IMG524304:IMG524404 IWC524304:IWC524404 JFY524304:JFY524404 JPU524304:JPU524404 JZQ524304:JZQ524404 KJM524304:KJM524404 KTI524304:KTI524404 LDE524304:LDE524404 LNA524304:LNA524404 LWW524304:LWW524404 MGS524304:MGS524404 MQO524304:MQO524404 NAK524304:NAK524404 NKG524304:NKG524404 NUC524304:NUC524404 ODY524304:ODY524404 ONU524304:ONU524404 OXQ524304:OXQ524404 PHM524304:PHM524404 PRI524304:PRI524404 QBE524304:QBE524404 QLA524304:QLA524404 QUW524304:QUW524404 RES524304:RES524404 ROO524304:ROO524404 RYK524304:RYK524404 SIG524304:SIG524404 SSC524304:SSC524404 TBY524304:TBY524404 TLU524304:TLU524404 TVQ524304:TVQ524404 UFM524304:UFM524404 UPI524304:UPI524404 UZE524304:UZE524404 VJA524304:VJA524404 VSW524304:VSW524404 WCS524304:WCS524404 WMO524304:WMO524404 WWK524304:WWK524404 AC589840:AC589940 JY589840:JY589940 TU589840:TU589940 ADQ589840:ADQ589940 ANM589840:ANM589940 AXI589840:AXI589940 BHE589840:BHE589940 BRA589840:BRA589940 CAW589840:CAW589940 CKS589840:CKS589940 CUO589840:CUO589940 DEK589840:DEK589940 DOG589840:DOG589940 DYC589840:DYC589940 EHY589840:EHY589940 ERU589840:ERU589940 FBQ589840:FBQ589940 FLM589840:FLM589940 FVI589840:FVI589940 GFE589840:GFE589940 GPA589840:GPA589940 GYW589840:GYW589940 HIS589840:HIS589940 HSO589840:HSO589940 ICK589840:ICK589940 IMG589840:IMG589940 IWC589840:IWC589940 JFY589840:JFY589940 JPU589840:JPU589940 JZQ589840:JZQ589940 KJM589840:KJM589940 KTI589840:KTI589940 LDE589840:LDE589940 LNA589840:LNA589940 LWW589840:LWW589940 MGS589840:MGS589940 MQO589840:MQO589940 NAK589840:NAK589940 NKG589840:NKG589940 NUC589840:NUC589940 ODY589840:ODY589940 ONU589840:ONU589940 OXQ589840:OXQ589940 PHM589840:PHM589940 PRI589840:PRI589940 QBE589840:QBE589940 QLA589840:QLA589940 QUW589840:QUW589940 RES589840:RES589940 ROO589840:ROO589940 RYK589840:RYK589940 SIG589840:SIG589940 SSC589840:SSC589940 TBY589840:TBY589940 TLU589840:TLU589940 TVQ589840:TVQ589940 UFM589840:UFM589940 UPI589840:UPI589940 UZE589840:UZE589940 VJA589840:VJA589940 VSW589840:VSW589940 WCS589840:WCS589940 WMO589840:WMO589940 WWK589840:WWK589940 AC655376:AC655476 JY655376:JY655476 TU655376:TU655476 ADQ655376:ADQ655476 ANM655376:ANM655476 AXI655376:AXI655476 BHE655376:BHE655476 BRA655376:BRA655476 CAW655376:CAW655476 CKS655376:CKS655476 CUO655376:CUO655476 DEK655376:DEK655476 DOG655376:DOG655476 DYC655376:DYC655476 EHY655376:EHY655476 ERU655376:ERU655476 FBQ655376:FBQ655476 FLM655376:FLM655476 FVI655376:FVI655476 GFE655376:GFE655476 GPA655376:GPA655476 GYW655376:GYW655476 HIS655376:HIS655476 HSO655376:HSO655476 ICK655376:ICK655476 IMG655376:IMG655476 IWC655376:IWC655476 JFY655376:JFY655476 JPU655376:JPU655476 JZQ655376:JZQ655476 KJM655376:KJM655476 KTI655376:KTI655476 LDE655376:LDE655476 LNA655376:LNA655476 LWW655376:LWW655476 MGS655376:MGS655476 MQO655376:MQO655476 NAK655376:NAK655476 NKG655376:NKG655476 NUC655376:NUC655476 ODY655376:ODY655476 ONU655376:ONU655476 OXQ655376:OXQ655476 PHM655376:PHM655476 PRI655376:PRI655476 QBE655376:QBE655476 QLA655376:QLA655476 QUW655376:QUW655476 RES655376:RES655476 ROO655376:ROO655476 RYK655376:RYK655476 SIG655376:SIG655476 SSC655376:SSC655476 TBY655376:TBY655476 TLU655376:TLU655476 TVQ655376:TVQ655476 UFM655376:UFM655476 UPI655376:UPI655476 UZE655376:UZE655476 VJA655376:VJA655476 VSW655376:VSW655476 WCS655376:WCS655476 WMO655376:WMO655476 WWK655376:WWK655476 AC720912:AC721012 JY720912:JY721012 TU720912:TU721012 ADQ720912:ADQ721012 ANM720912:ANM721012 AXI720912:AXI721012 BHE720912:BHE721012 BRA720912:BRA721012 CAW720912:CAW721012 CKS720912:CKS721012 CUO720912:CUO721012 DEK720912:DEK721012 DOG720912:DOG721012 DYC720912:DYC721012 EHY720912:EHY721012 ERU720912:ERU721012 FBQ720912:FBQ721012 FLM720912:FLM721012 FVI720912:FVI721012 GFE720912:GFE721012 GPA720912:GPA721012 GYW720912:GYW721012 HIS720912:HIS721012 HSO720912:HSO721012 ICK720912:ICK721012 IMG720912:IMG721012 IWC720912:IWC721012 JFY720912:JFY721012 JPU720912:JPU721012 JZQ720912:JZQ721012 KJM720912:KJM721012 KTI720912:KTI721012 LDE720912:LDE721012 LNA720912:LNA721012 LWW720912:LWW721012 MGS720912:MGS721012 MQO720912:MQO721012 NAK720912:NAK721012 NKG720912:NKG721012 NUC720912:NUC721012 ODY720912:ODY721012 ONU720912:ONU721012 OXQ720912:OXQ721012 PHM720912:PHM721012 PRI720912:PRI721012 QBE720912:QBE721012 QLA720912:QLA721012 QUW720912:QUW721012 RES720912:RES721012 ROO720912:ROO721012 RYK720912:RYK721012 SIG720912:SIG721012 SSC720912:SSC721012 TBY720912:TBY721012 TLU720912:TLU721012 TVQ720912:TVQ721012 UFM720912:UFM721012 UPI720912:UPI721012 UZE720912:UZE721012 VJA720912:VJA721012 VSW720912:VSW721012 WCS720912:WCS721012 WMO720912:WMO721012 WWK720912:WWK721012 AC786448:AC786548 JY786448:JY786548 TU786448:TU786548 ADQ786448:ADQ786548 ANM786448:ANM786548 AXI786448:AXI786548 BHE786448:BHE786548 BRA786448:BRA786548 CAW786448:CAW786548 CKS786448:CKS786548 CUO786448:CUO786548 DEK786448:DEK786548 DOG786448:DOG786548 DYC786448:DYC786548 EHY786448:EHY786548 ERU786448:ERU786548 FBQ786448:FBQ786548 FLM786448:FLM786548 FVI786448:FVI786548 GFE786448:GFE786548 GPA786448:GPA786548 GYW786448:GYW786548 HIS786448:HIS786548 HSO786448:HSO786548 ICK786448:ICK786548 IMG786448:IMG786548 IWC786448:IWC786548 JFY786448:JFY786548 JPU786448:JPU786548 JZQ786448:JZQ786548 KJM786448:KJM786548 KTI786448:KTI786548 LDE786448:LDE786548 LNA786448:LNA786548 LWW786448:LWW786548 MGS786448:MGS786548 MQO786448:MQO786548 NAK786448:NAK786548 NKG786448:NKG786548 NUC786448:NUC786548 ODY786448:ODY786548 ONU786448:ONU786548 OXQ786448:OXQ786548 PHM786448:PHM786548 PRI786448:PRI786548 QBE786448:QBE786548 QLA786448:QLA786548 QUW786448:QUW786548 RES786448:RES786548 ROO786448:ROO786548 RYK786448:RYK786548 SIG786448:SIG786548 SSC786448:SSC786548 TBY786448:TBY786548 TLU786448:TLU786548 TVQ786448:TVQ786548 UFM786448:UFM786548 UPI786448:UPI786548 UZE786448:UZE786548 VJA786448:VJA786548 VSW786448:VSW786548 WCS786448:WCS786548 WMO786448:WMO786548 WWK786448:WWK786548 AC851984:AC852084 JY851984:JY852084 TU851984:TU852084 ADQ851984:ADQ852084 ANM851984:ANM852084 AXI851984:AXI852084 BHE851984:BHE852084 BRA851984:BRA852084 CAW851984:CAW852084 CKS851984:CKS852084 CUO851984:CUO852084 DEK851984:DEK852084 DOG851984:DOG852084 DYC851984:DYC852084 EHY851984:EHY852084 ERU851984:ERU852084 FBQ851984:FBQ852084 FLM851984:FLM852084 FVI851984:FVI852084 GFE851984:GFE852084 GPA851984:GPA852084 GYW851984:GYW852084 HIS851984:HIS852084 HSO851984:HSO852084 ICK851984:ICK852084 IMG851984:IMG852084 IWC851984:IWC852084 JFY851984:JFY852084 JPU851984:JPU852084 JZQ851984:JZQ852084 KJM851984:KJM852084 KTI851984:KTI852084 LDE851984:LDE852084 LNA851984:LNA852084 LWW851984:LWW852084 MGS851984:MGS852084 MQO851984:MQO852084 NAK851984:NAK852084 NKG851984:NKG852084 NUC851984:NUC852084 ODY851984:ODY852084 ONU851984:ONU852084 OXQ851984:OXQ852084 PHM851984:PHM852084 PRI851984:PRI852084 QBE851984:QBE852084 QLA851984:QLA852084 QUW851984:QUW852084 RES851984:RES852084 ROO851984:ROO852084 RYK851984:RYK852084 SIG851984:SIG852084 SSC851984:SSC852084 TBY851984:TBY852084 TLU851984:TLU852084 TVQ851984:TVQ852084 UFM851984:UFM852084 UPI851984:UPI852084 UZE851984:UZE852084 VJA851984:VJA852084 VSW851984:VSW852084 WCS851984:WCS852084 WMO851984:WMO852084 WWK851984:WWK852084 AC917520:AC917620 JY917520:JY917620 TU917520:TU917620 ADQ917520:ADQ917620 ANM917520:ANM917620 AXI917520:AXI917620 BHE917520:BHE917620 BRA917520:BRA917620 CAW917520:CAW917620 CKS917520:CKS917620 CUO917520:CUO917620 DEK917520:DEK917620 DOG917520:DOG917620 DYC917520:DYC917620 EHY917520:EHY917620 ERU917520:ERU917620 FBQ917520:FBQ917620 FLM917520:FLM917620 FVI917520:FVI917620 GFE917520:GFE917620 GPA917520:GPA917620 GYW917520:GYW917620 HIS917520:HIS917620 HSO917520:HSO917620 ICK917520:ICK917620 IMG917520:IMG917620 IWC917520:IWC917620 JFY917520:JFY917620 JPU917520:JPU917620 JZQ917520:JZQ917620 KJM917520:KJM917620 KTI917520:KTI917620 LDE917520:LDE917620 LNA917520:LNA917620 LWW917520:LWW917620 MGS917520:MGS917620 MQO917520:MQO917620 NAK917520:NAK917620 NKG917520:NKG917620 NUC917520:NUC917620 ODY917520:ODY917620 ONU917520:ONU917620 OXQ917520:OXQ917620 PHM917520:PHM917620 PRI917520:PRI917620 QBE917520:QBE917620 QLA917520:QLA917620 QUW917520:QUW917620 RES917520:RES917620 ROO917520:ROO917620 RYK917520:RYK917620 SIG917520:SIG917620 SSC917520:SSC917620 TBY917520:TBY917620 TLU917520:TLU917620 TVQ917520:TVQ917620 UFM917520:UFM917620 UPI917520:UPI917620 UZE917520:UZE917620 VJA917520:VJA917620 VSW917520:VSW917620 WCS917520:WCS917620 WMO917520:WMO917620 WWK917520:WWK917620 AC983056:AC983156 JY983056:JY983156 TU983056:TU983156 ADQ983056:ADQ983156 ANM983056:ANM983156 AXI983056:AXI983156 BHE983056:BHE983156 BRA983056:BRA983156 CAW983056:CAW983156 CKS983056:CKS983156 CUO983056:CUO983156 DEK983056:DEK983156 DOG983056:DOG983156 DYC983056:DYC983156 EHY983056:EHY983156 ERU983056:ERU983156 FBQ983056:FBQ983156 FLM983056:FLM983156 FVI983056:FVI983156 GFE983056:GFE983156 GPA983056:GPA983156 GYW983056:GYW983156 HIS983056:HIS983156 HSO983056:HSO983156 ICK983056:ICK983156 IMG983056:IMG983156 IWC983056:IWC983156 JFY983056:JFY983156 JPU983056:JPU983156 JZQ983056:JZQ983156 KJM983056:KJM983156 KTI983056:KTI983156 LDE983056:LDE983156 LNA983056:LNA983156 LWW983056:LWW983156 MGS983056:MGS983156 MQO983056:MQO983156 NAK983056:NAK983156 NKG983056:NKG983156 NUC983056:NUC983156 ODY983056:ODY983156 ONU983056:ONU983156 OXQ983056:OXQ983156 PHM983056:PHM983156 PRI983056:PRI983156 QBE983056:QBE983156 QLA983056:QLA983156 QUW983056:QUW983156 RES983056:RES983156 ROO983056:ROO983156 RYK983056:RYK983156 SIG983056:SIG983156 SSC983056:SSC983156 TBY983056:TBY983156 TLU983056:TLU983156 TVQ983056:TVQ983156 UFM983056:UFM983156 UPI983056:UPI983156 UZE983056:UZE983156 VJA983056:VJA983156 VSW983056:VSW983156 WCS983056:WCS983156 WWK12:WWK65 WMO12:WMO65 WCS12:WCS65 VSW12:VSW65 VJA12:VJA65 UZE12:UZE65 UPI12:UPI65 UFM12:UFM65 TVQ12:TVQ65 TLU12:TLU65 TBY12:TBY65 SSC12:SSC65 SIG12:SIG65 RYK12:RYK65 ROO12:ROO65 RES12:RES65 QUW12:QUW65 QLA12:QLA65 QBE12:QBE65 PRI12:PRI65 PHM12:PHM65 OXQ12:OXQ65 ONU12:ONU65 ODY12:ODY65 NUC12:NUC65 NKG12:NKG65 NAK12:NAK65 MQO12:MQO65 MGS12:MGS65 LWW12:LWW65 LNA12:LNA65 LDE12:LDE65 KTI12:KTI65 KJM12:KJM65 JZQ12:JZQ65 JPU12:JPU65 JFY12:JFY65 IWC12:IWC65 IMG12:IMG65 ICK12:ICK65 HSO12:HSO65 HIS12:HIS65 GYW12:GYW65 GPA12:GPA65 GFE12:GFE65 FVI12:FVI65 FLM12:FLM65 FBQ12:FBQ65 ERU12:ERU65 EHY12:EHY65 DYC12:DYC65 DOG12:DOG65 DEK12:DEK65 CUO12:CUO65 CKS12:CKS65 CAW12:CAW65 BRA12:BRA65 BHE12:BHE65 AXI12:AXI65 ANM12:ANM65 ADQ12:ADQ65 TU12:TU65 JY12:JY65 JY67:JY116" xr:uid="{D0C125D7-6758-49AA-A73F-37F2F175E1CB}"/>
    <dataValidation allowBlank="1" showInputMessage="1" showErrorMessage="1" prompt="Performance Tasks Total Highest Possible Score" sqref="WWK983054:WWK983055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4:WMO983055 AC65550:AC65551 JY65550:JY65551 TU65550:TU65551 ADQ65550:ADQ65551 ANM65550:ANM65551 AXI65550:AXI65551 BHE65550:BHE65551 BRA65550:BRA65551 CAW65550:CAW65551 CKS65550:CKS65551 CUO65550:CUO65551 DEK65550:DEK65551 DOG65550:DOG65551 DYC65550:DYC65551 EHY65550:EHY65551 ERU65550:ERU65551 FBQ65550:FBQ65551 FLM65550:FLM65551 FVI65550:FVI65551 GFE65550:GFE65551 GPA65550:GPA65551 GYW65550:GYW65551 HIS65550:HIS65551 HSO65550:HSO65551 ICK65550:ICK65551 IMG65550:IMG65551 IWC65550:IWC65551 JFY65550:JFY65551 JPU65550:JPU65551 JZQ65550:JZQ65551 KJM65550:KJM65551 KTI65550:KTI65551 LDE65550:LDE65551 LNA65550:LNA65551 LWW65550:LWW65551 MGS65550:MGS65551 MQO65550:MQO65551 NAK65550:NAK65551 NKG65550:NKG65551 NUC65550:NUC65551 ODY65550:ODY65551 ONU65550:ONU65551 OXQ65550:OXQ65551 PHM65550:PHM65551 PRI65550:PRI65551 QBE65550:QBE65551 QLA65550:QLA65551 QUW65550:QUW65551 RES65550:RES65551 ROO65550:ROO65551 RYK65550:RYK65551 SIG65550:SIG65551 SSC65550:SSC65551 TBY65550:TBY65551 TLU65550:TLU65551 TVQ65550:TVQ65551 UFM65550:UFM65551 UPI65550:UPI65551 UZE65550:UZE65551 VJA65550:VJA65551 VSW65550:VSW65551 WCS65550:WCS65551 WMO65550:WMO65551 WWK65550:WWK65551 AC131086:AC131087 JY131086:JY131087 TU131086:TU131087 ADQ131086:ADQ131087 ANM131086:ANM131087 AXI131086:AXI131087 BHE131086:BHE131087 BRA131086:BRA131087 CAW131086:CAW131087 CKS131086:CKS131087 CUO131086:CUO131087 DEK131086:DEK131087 DOG131086:DOG131087 DYC131086:DYC131087 EHY131086:EHY131087 ERU131086:ERU131087 FBQ131086:FBQ131087 FLM131086:FLM131087 FVI131086:FVI131087 GFE131086:GFE131087 GPA131086:GPA131087 GYW131086:GYW131087 HIS131086:HIS131087 HSO131086:HSO131087 ICK131086:ICK131087 IMG131086:IMG131087 IWC131086:IWC131087 JFY131086:JFY131087 JPU131086:JPU131087 JZQ131086:JZQ131087 KJM131086:KJM131087 KTI131086:KTI131087 LDE131086:LDE131087 LNA131086:LNA131087 LWW131086:LWW131087 MGS131086:MGS131087 MQO131086:MQO131087 NAK131086:NAK131087 NKG131086:NKG131087 NUC131086:NUC131087 ODY131086:ODY131087 ONU131086:ONU131087 OXQ131086:OXQ131087 PHM131086:PHM131087 PRI131086:PRI131087 QBE131086:QBE131087 QLA131086:QLA131087 QUW131086:QUW131087 RES131086:RES131087 ROO131086:ROO131087 RYK131086:RYK131087 SIG131086:SIG131087 SSC131086:SSC131087 TBY131086:TBY131087 TLU131086:TLU131087 TVQ131086:TVQ131087 UFM131086:UFM131087 UPI131086:UPI131087 UZE131086:UZE131087 VJA131086:VJA131087 VSW131086:VSW131087 WCS131086:WCS131087 WMO131086:WMO131087 WWK131086:WWK131087 AC196622:AC196623 JY196622:JY196623 TU196622:TU196623 ADQ196622:ADQ196623 ANM196622:ANM196623 AXI196622:AXI196623 BHE196622:BHE196623 BRA196622:BRA196623 CAW196622:CAW196623 CKS196622:CKS196623 CUO196622:CUO196623 DEK196622:DEK196623 DOG196622:DOG196623 DYC196622:DYC196623 EHY196622:EHY196623 ERU196622:ERU196623 FBQ196622:FBQ196623 FLM196622:FLM196623 FVI196622:FVI196623 GFE196622:GFE196623 GPA196622:GPA196623 GYW196622:GYW196623 HIS196622:HIS196623 HSO196622:HSO196623 ICK196622:ICK196623 IMG196622:IMG196623 IWC196622:IWC196623 JFY196622:JFY196623 JPU196622:JPU196623 JZQ196622:JZQ196623 KJM196622:KJM196623 KTI196622:KTI196623 LDE196622:LDE196623 LNA196622:LNA196623 LWW196622:LWW196623 MGS196622:MGS196623 MQO196622:MQO196623 NAK196622:NAK196623 NKG196622:NKG196623 NUC196622:NUC196623 ODY196622:ODY196623 ONU196622:ONU196623 OXQ196622:OXQ196623 PHM196622:PHM196623 PRI196622:PRI196623 QBE196622:QBE196623 QLA196622:QLA196623 QUW196622:QUW196623 RES196622:RES196623 ROO196622:ROO196623 RYK196622:RYK196623 SIG196622:SIG196623 SSC196622:SSC196623 TBY196622:TBY196623 TLU196622:TLU196623 TVQ196622:TVQ196623 UFM196622:UFM196623 UPI196622:UPI196623 UZE196622:UZE196623 VJA196622:VJA196623 VSW196622:VSW196623 WCS196622:WCS196623 WMO196622:WMO196623 WWK196622:WWK196623 AC262158:AC262159 JY262158:JY262159 TU262158:TU262159 ADQ262158:ADQ262159 ANM262158:ANM262159 AXI262158:AXI262159 BHE262158:BHE262159 BRA262158:BRA262159 CAW262158:CAW262159 CKS262158:CKS262159 CUO262158:CUO262159 DEK262158:DEK262159 DOG262158:DOG262159 DYC262158:DYC262159 EHY262158:EHY262159 ERU262158:ERU262159 FBQ262158:FBQ262159 FLM262158:FLM262159 FVI262158:FVI262159 GFE262158:GFE262159 GPA262158:GPA262159 GYW262158:GYW262159 HIS262158:HIS262159 HSO262158:HSO262159 ICK262158:ICK262159 IMG262158:IMG262159 IWC262158:IWC262159 JFY262158:JFY262159 JPU262158:JPU262159 JZQ262158:JZQ262159 KJM262158:KJM262159 KTI262158:KTI262159 LDE262158:LDE262159 LNA262158:LNA262159 LWW262158:LWW262159 MGS262158:MGS262159 MQO262158:MQO262159 NAK262158:NAK262159 NKG262158:NKG262159 NUC262158:NUC262159 ODY262158:ODY262159 ONU262158:ONU262159 OXQ262158:OXQ262159 PHM262158:PHM262159 PRI262158:PRI262159 QBE262158:QBE262159 QLA262158:QLA262159 QUW262158:QUW262159 RES262158:RES262159 ROO262158:ROO262159 RYK262158:RYK262159 SIG262158:SIG262159 SSC262158:SSC262159 TBY262158:TBY262159 TLU262158:TLU262159 TVQ262158:TVQ262159 UFM262158:UFM262159 UPI262158:UPI262159 UZE262158:UZE262159 VJA262158:VJA262159 VSW262158:VSW262159 WCS262158:WCS262159 WMO262158:WMO262159 WWK262158:WWK262159 AC327694:AC327695 JY327694:JY327695 TU327694:TU327695 ADQ327694:ADQ327695 ANM327694:ANM327695 AXI327694:AXI327695 BHE327694:BHE327695 BRA327694:BRA327695 CAW327694:CAW327695 CKS327694:CKS327695 CUO327694:CUO327695 DEK327694:DEK327695 DOG327694:DOG327695 DYC327694:DYC327695 EHY327694:EHY327695 ERU327694:ERU327695 FBQ327694:FBQ327695 FLM327694:FLM327695 FVI327694:FVI327695 GFE327694:GFE327695 GPA327694:GPA327695 GYW327694:GYW327695 HIS327694:HIS327695 HSO327694:HSO327695 ICK327694:ICK327695 IMG327694:IMG327695 IWC327694:IWC327695 JFY327694:JFY327695 JPU327694:JPU327695 JZQ327694:JZQ327695 KJM327694:KJM327695 KTI327694:KTI327695 LDE327694:LDE327695 LNA327694:LNA327695 LWW327694:LWW327695 MGS327694:MGS327695 MQO327694:MQO327695 NAK327694:NAK327695 NKG327694:NKG327695 NUC327694:NUC327695 ODY327694:ODY327695 ONU327694:ONU327695 OXQ327694:OXQ327695 PHM327694:PHM327695 PRI327694:PRI327695 QBE327694:QBE327695 QLA327694:QLA327695 QUW327694:QUW327695 RES327694:RES327695 ROO327694:ROO327695 RYK327694:RYK327695 SIG327694:SIG327695 SSC327694:SSC327695 TBY327694:TBY327695 TLU327694:TLU327695 TVQ327694:TVQ327695 UFM327694:UFM327695 UPI327694:UPI327695 UZE327694:UZE327695 VJA327694:VJA327695 VSW327694:VSW327695 WCS327694:WCS327695 WMO327694:WMO327695 WWK327694:WWK327695 AC393230:AC393231 JY393230:JY393231 TU393230:TU393231 ADQ393230:ADQ393231 ANM393230:ANM393231 AXI393230:AXI393231 BHE393230:BHE393231 BRA393230:BRA393231 CAW393230:CAW393231 CKS393230:CKS393231 CUO393230:CUO393231 DEK393230:DEK393231 DOG393230:DOG393231 DYC393230:DYC393231 EHY393230:EHY393231 ERU393230:ERU393231 FBQ393230:FBQ393231 FLM393230:FLM393231 FVI393230:FVI393231 GFE393230:GFE393231 GPA393230:GPA393231 GYW393230:GYW393231 HIS393230:HIS393231 HSO393230:HSO393231 ICK393230:ICK393231 IMG393230:IMG393231 IWC393230:IWC393231 JFY393230:JFY393231 JPU393230:JPU393231 JZQ393230:JZQ393231 KJM393230:KJM393231 KTI393230:KTI393231 LDE393230:LDE393231 LNA393230:LNA393231 LWW393230:LWW393231 MGS393230:MGS393231 MQO393230:MQO393231 NAK393230:NAK393231 NKG393230:NKG393231 NUC393230:NUC393231 ODY393230:ODY393231 ONU393230:ONU393231 OXQ393230:OXQ393231 PHM393230:PHM393231 PRI393230:PRI393231 QBE393230:QBE393231 QLA393230:QLA393231 QUW393230:QUW393231 RES393230:RES393231 ROO393230:ROO393231 RYK393230:RYK393231 SIG393230:SIG393231 SSC393230:SSC393231 TBY393230:TBY393231 TLU393230:TLU393231 TVQ393230:TVQ393231 UFM393230:UFM393231 UPI393230:UPI393231 UZE393230:UZE393231 VJA393230:VJA393231 VSW393230:VSW393231 WCS393230:WCS393231 WMO393230:WMO393231 WWK393230:WWK393231 AC458766:AC458767 JY458766:JY458767 TU458766:TU458767 ADQ458766:ADQ458767 ANM458766:ANM458767 AXI458766:AXI458767 BHE458766:BHE458767 BRA458766:BRA458767 CAW458766:CAW458767 CKS458766:CKS458767 CUO458766:CUO458767 DEK458766:DEK458767 DOG458766:DOG458767 DYC458766:DYC458767 EHY458766:EHY458767 ERU458766:ERU458767 FBQ458766:FBQ458767 FLM458766:FLM458767 FVI458766:FVI458767 GFE458766:GFE458767 GPA458766:GPA458767 GYW458766:GYW458767 HIS458766:HIS458767 HSO458766:HSO458767 ICK458766:ICK458767 IMG458766:IMG458767 IWC458766:IWC458767 JFY458766:JFY458767 JPU458766:JPU458767 JZQ458766:JZQ458767 KJM458766:KJM458767 KTI458766:KTI458767 LDE458766:LDE458767 LNA458766:LNA458767 LWW458766:LWW458767 MGS458766:MGS458767 MQO458766:MQO458767 NAK458766:NAK458767 NKG458766:NKG458767 NUC458766:NUC458767 ODY458766:ODY458767 ONU458766:ONU458767 OXQ458766:OXQ458767 PHM458766:PHM458767 PRI458766:PRI458767 QBE458766:QBE458767 QLA458766:QLA458767 QUW458766:QUW458767 RES458766:RES458767 ROO458766:ROO458767 RYK458766:RYK458767 SIG458766:SIG458767 SSC458766:SSC458767 TBY458766:TBY458767 TLU458766:TLU458767 TVQ458766:TVQ458767 UFM458766:UFM458767 UPI458766:UPI458767 UZE458766:UZE458767 VJA458766:VJA458767 VSW458766:VSW458767 WCS458766:WCS458767 WMO458766:WMO458767 WWK458766:WWK458767 AC524302:AC524303 JY524302:JY524303 TU524302:TU524303 ADQ524302:ADQ524303 ANM524302:ANM524303 AXI524302:AXI524303 BHE524302:BHE524303 BRA524302:BRA524303 CAW524302:CAW524303 CKS524302:CKS524303 CUO524302:CUO524303 DEK524302:DEK524303 DOG524302:DOG524303 DYC524302:DYC524303 EHY524302:EHY524303 ERU524302:ERU524303 FBQ524302:FBQ524303 FLM524302:FLM524303 FVI524302:FVI524303 GFE524302:GFE524303 GPA524302:GPA524303 GYW524302:GYW524303 HIS524302:HIS524303 HSO524302:HSO524303 ICK524302:ICK524303 IMG524302:IMG524303 IWC524302:IWC524303 JFY524302:JFY524303 JPU524302:JPU524303 JZQ524302:JZQ524303 KJM524302:KJM524303 KTI524302:KTI524303 LDE524302:LDE524303 LNA524302:LNA524303 LWW524302:LWW524303 MGS524302:MGS524303 MQO524302:MQO524303 NAK524302:NAK524303 NKG524302:NKG524303 NUC524302:NUC524303 ODY524302:ODY524303 ONU524302:ONU524303 OXQ524302:OXQ524303 PHM524302:PHM524303 PRI524302:PRI524303 QBE524302:QBE524303 QLA524302:QLA524303 QUW524302:QUW524303 RES524302:RES524303 ROO524302:ROO524303 RYK524302:RYK524303 SIG524302:SIG524303 SSC524302:SSC524303 TBY524302:TBY524303 TLU524302:TLU524303 TVQ524302:TVQ524303 UFM524302:UFM524303 UPI524302:UPI524303 UZE524302:UZE524303 VJA524302:VJA524303 VSW524302:VSW524303 WCS524302:WCS524303 WMO524302:WMO524303 WWK524302:WWK524303 AC589838:AC589839 JY589838:JY589839 TU589838:TU589839 ADQ589838:ADQ589839 ANM589838:ANM589839 AXI589838:AXI589839 BHE589838:BHE589839 BRA589838:BRA589839 CAW589838:CAW589839 CKS589838:CKS589839 CUO589838:CUO589839 DEK589838:DEK589839 DOG589838:DOG589839 DYC589838:DYC589839 EHY589838:EHY589839 ERU589838:ERU589839 FBQ589838:FBQ589839 FLM589838:FLM589839 FVI589838:FVI589839 GFE589838:GFE589839 GPA589838:GPA589839 GYW589838:GYW589839 HIS589838:HIS589839 HSO589838:HSO589839 ICK589838:ICK589839 IMG589838:IMG589839 IWC589838:IWC589839 JFY589838:JFY589839 JPU589838:JPU589839 JZQ589838:JZQ589839 KJM589838:KJM589839 KTI589838:KTI589839 LDE589838:LDE589839 LNA589838:LNA589839 LWW589838:LWW589839 MGS589838:MGS589839 MQO589838:MQO589839 NAK589838:NAK589839 NKG589838:NKG589839 NUC589838:NUC589839 ODY589838:ODY589839 ONU589838:ONU589839 OXQ589838:OXQ589839 PHM589838:PHM589839 PRI589838:PRI589839 QBE589838:QBE589839 QLA589838:QLA589839 QUW589838:QUW589839 RES589838:RES589839 ROO589838:ROO589839 RYK589838:RYK589839 SIG589838:SIG589839 SSC589838:SSC589839 TBY589838:TBY589839 TLU589838:TLU589839 TVQ589838:TVQ589839 UFM589838:UFM589839 UPI589838:UPI589839 UZE589838:UZE589839 VJA589838:VJA589839 VSW589838:VSW589839 WCS589838:WCS589839 WMO589838:WMO589839 WWK589838:WWK589839 AC655374:AC655375 JY655374:JY655375 TU655374:TU655375 ADQ655374:ADQ655375 ANM655374:ANM655375 AXI655374:AXI655375 BHE655374:BHE655375 BRA655374:BRA655375 CAW655374:CAW655375 CKS655374:CKS655375 CUO655374:CUO655375 DEK655374:DEK655375 DOG655374:DOG655375 DYC655374:DYC655375 EHY655374:EHY655375 ERU655374:ERU655375 FBQ655374:FBQ655375 FLM655374:FLM655375 FVI655374:FVI655375 GFE655374:GFE655375 GPA655374:GPA655375 GYW655374:GYW655375 HIS655374:HIS655375 HSO655374:HSO655375 ICK655374:ICK655375 IMG655374:IMG655375 IWC655374:IWC655375 JFY655374:JFY655375 JPU655374:JPU655375 JZQ655374:JZQ655375 KJM655374:KJM655375 KTI655374:KTI655375 LDE655374:LDE655375 LNA655374:LNA655375 LWW655374:LWW655375 MGS655374:MGS655375 MQO655374:MQO655375 NAK655374:NAK655375 NKG655374:NKG655375 NUC655374:NUC655375 ODY655374:ODY655375 ONU655374:ONU655375 OXQ655374:OXQ655375 PHM655374:PHM655375 PRI655374:PRI655375 QBE655374:QBE655375 QLA655374:QLA655375 QUW655374:QUW655375 RES655374:RES655375 ROO655374:ROO655375 RYK655374:RYK655375 SIG655374:SIG655375 SSC655374:SSC655375 TBY655374:TBY655375 TLU655374:TLU655375 TVQ655374:TVQ655375 UFM655374:UFM655375 UPI655374:UPI655375 UZE655374:UZE655375 VJA655374:VJA655375 VSW655374:VSW655375 WCS655374:WCS655375 WMO655374:WMO655375 WWK655374:WWK655375 AC720910:AC720911 JY720910:JY720911 TU720910:TU720911 ADQ720910:ADQ720911 ANM720910:ANM720911 AXI720910:AXI720911 BHE720910:BHE720911 BRA720910:BRA720911 CAW720910:CAW720911 CKS720910:CKS720911 CUO720910:CUO720911 DEK720910:DEK720911 DOG720910:DOG720911 DYC720910:DYC720911 EHY720910:EHY720911 ERU720910:ERU720911 FBQ720910:FBQ720911 FLM720910:FLM720911 FVI720910:FVI720911 GFE720910:GFE720911 GPA720910:GPA720911 GYW720910:GYW720911 HIS720910:HIS720911 HSO720910:HSO720911 ICK720910:ICK720911 IMG720910:IMG720911 IWC720910:IWC720911 JFY720910:JFY720911 JPU720910:JPU720911 JZQ720910:JZQ720911 KJM720910:KJM720911 KTI720910:KTI720911 LDE720910:LDE720911 LNA720910:LNA720911 LWW720910:LWW720911 MGS720910:MGS720911 MQO720910:MQO720911 NAK720910:NAK720911 NKG720910:NKG720911 NUC720910:NUC720911 ODY720910:ODY720911 ONU720910:ONU720911 OXQ720910:OXQ720911 PHM720910:PHM720911 PRI720910:PRI720911 QBE720910:QBE720911 QLA720910:QLA720911 QUW720910:QUW720911 RES720910:RES720911 ROO720910:ROO720911 RYK720910:RYK720911 SIG720910:SIG720911 SSC720910:SSC720911 TBY720910:TBY720911 TLU720910:TLU720911 TVQ720910:TVQ720911 UFM720910:UFM720911 UPI720910:UPI720911 UZE720910:UZE720911 VJA720910:VJA720911 VSW720910:VSW720911 WCS720910:WCS720911 WMO720910:WMO720911 WWK720910:WWK720911 AC786446:AC786447 JY786446:JY786447 TU786446:TU786447 ADQ786446:ADQ786447 ANM786446:ANM786447 AXI786446:AXI786447 BHE786446:BHE786447 BRA786446:BRA786447 CAW786446:CAW786447 CKS786446:CKS786447 CUO786446:CUO786447 DEK786446:DEK786447 DOG786446:DOG786447 DYC786446:DYC786447 EHY786446:EHY786447 ERU786446:ERU786447 FBQ786446:FBQ786447 FLM786446:FLM786447 FVI786446:FVI786447 GFE786446:GFE786447 GPA786446:GPA786447 GYW786446:GYW786447 HIS786446:HIS786447 HSO786446:HSO786447 ICK786446:ICK786447 IMG786446:IMG786447 IWC786446:IWC786447 JFY786446:JFY786447 JPU786446:JPU786447 JZQ786446:JZQ786447 KJM786446:KJM786447 KTI786446:KTI786447 LDE786446:LDE786447 LNA786446:LNA786447 LWW786446:LWW786447 MGS786446:MGS786447 MQO786446:MQO786447 NAK786446:NAK786447 NKG786446:NKG786447 NUC786446:NUC786447 ODY786446:ODY786447 ONU786446:ONU786447 OXQ786446:OXQ786447 PHM786446:PHM786447 PRI786446:PRI786447 QBE786446:QBE786447 QLA786446:QLA786447 QUW786446:QUW786447 RES786446:RES786447 ROO786446:ROO786447 RYK786446:RYK786447 SIG786446:SIG786447 SSC786446:SSC786447 TBY786446:TBY786447 TLU786446:TLU786447 TVQ786446:TVQ786447 UFM786446:UFM786447 UPI786446:UPI786447 UZE786446:UZE786447 VJA786446:VJA786447 VSW786446:VSW786447 WCS786446:WCS786447 WMO786446:WMO786447 WWK786446:WWK786447 AC851982:AC851983 JY851982:JY851983 TU851982:TU851983 ADQ851982:ADQ851983 ANM851982:ANM851983 AXI851982:AXI851983 BHE851982:BHE851983 BRA851982:BRA851983 CAW851982:CAW851983 CKS851982:CKS851983 CUO851982:CUO851983 DEK851982:DEK851983 DOG851982:DOG851983 DYC851982:DYC851983 EHY851982:EHY851983 ERU851982:ERU851983 FBQ851982:FBQ851983 FLM851982:FLM851983 FVI851982:FVI851983 GFE851982:GFE851983 GPA851982:GPA851983 GYW851982:GYW851983 HIS851982:HIS851983 HSO851982:HSO851983 ICK851982:ICK851983 IMG851982:IMG851983 IWC851982:IWC851983 JFY851982:JFY851983 JPU851982:JPU851983 JZQ851982:JZQ851983 KJM851982:KJM851983 KTI851982:KTI851983 LDE851982:LDE851983 LNA851982:LNA851983 LWW851982:LWW851983 MGS851982:MGS851983 MQO851982:MQO851983 NAK851982:NAK851983 NKG851982:NKG851983 NUC851982:NUC851983 ODY851982:ODY851983 ONU851982:ONU851983 OXQ851982:OXQ851983 PHM851982:PHM851983 PRI851982:PRI851983 QBE851982:QBE851983 QLA851982:QLA851983 QUW851982:QUW851983 RES851982:RES851983 ROO851982:ROO851983 RYK851982:RYK851983 SIG851982:SIG851983 SSC851982:SSC851983 TBY851982:TBY851983 TLU851982:TLU851983 TVQ851982:TVQ851983 UFM851982:UFM851983 UPI851982:UPI851983 UZE851982:UZE851983 VJA851982:VJA851983 VSW851982:VSW851983 WCS851982:WCS851983 WMO851982:WMO851983 WWK851982:WWK851983 AC917518:AC917519 JY917518:JY917519 TU917518:TU917519 ADQ917518:ADQ917519 ANM917518:ANM917519 AXI917518:AXI917519 BHE917518:BHE917519 BRA917518:BRA917519 CAW917518:CAW917519 CKS917518:CKS917519 CUO917518:CUO917519 DEK917518:DEK917519 DOG917518:DOG917519 DYC917518:DYC917519 EHY917518:EHY917519 ERU917518:ERU917519 FBQ917518:FBQ917519 FLM917518:FLM917519 FVI917518:FVI917519 GFE917518:GFE917519 GPA917518:GPA917519 GYW917518:GYW917519 HIS917518:HIS917519 HSO917518:HSO917519 ICK917518:ICK917519 IMG917518:IMG917519 IWC917518:IWC917519 JFY917518:JFY917519 JPU917518:JPU917519 JZQ917518:JZQ917519 KJM917518:KJM917519 KTI917518:KTI917519 LDE917518:LDE917519 LNA917518:LNA917519 LWW917518:LWW917519 MGS917518:MGS917519 MQO917518:MQO917519 NAK917518:NAK917519 NKG917518:NKG917519 NUC917518:NUC917519 ODY917518:ODY917519 ONU917518:ONU917519 OXQ917518:OXQ917519 PHM917518:PHM917519 PRI917518:PRI917519 QBE917518:QBE917519 QLA917518:QLA917519 QUW917518:QUW917519 RES917518:RES917519 ROO917518:ROO917519 RYK917518:RYK917519 SIG917518:SIG917519 SSC917518:SSC917519 TBY917518:TBY917519 TLU917518:TLU917519 TVQ917518:TVQ917519 UFM917518:UFM917519 UPI917518:UPI917519 UZE917518:UZE917519 VJA917518:VJA917519 VSW917518:VSW917519 WCS917518:WCS917519 WMO917518:WMO917519 WWK917518:WWK917519 AC983054:AC983055 JY983054:JY983055 TU983054:TU983055 ADQ983054:ADQ983055 ANM983054:ANM983055 AXI983054:AXI983055 BHE983054:BHE983055 BRA983054:BRA983055 CAW983054:CAW983055 CKS983054:CKS983055 CUO983054:CUO983055 DEK983054:DEK983055 DOG983054:DOG983055 DYC983054:DYC983055 EHY983054:EHY983055 ERU983054:ERU983055 FBQ983054:FBQ983055 FLM983054:FLM983055 FVI983054:FVI983055 GFE983054:GFE983055 GPA983054:GPA983055 GYW983054:GYW983055 HIS983054:HIS983055 HSO983054:HSO983055 ICK983054:ICK983055 IMG983054:IMG983055 IWC983054:IWC983055 JFY983054:JFY983055 JPU983054:JPU983055 JZQ983054:JZQ983055 KJM983054:KJM983055 KTI983054:KTI983055 LDE983054:LDE983055 LNA983054:LNA983055 LWW983054:LWW983055 MGS983054:MGS983055 MQO983054:MQO983055 NAK983054:NAK983055 NKG983054:NKG983055 NUC983054:NUC983055 ODY983054:ODY983055 ONU983054:ONU983055 OXQ983054:OXQ983055 PHM983054:PHM983055 PRI983054:PRI983055 QBE983054:QBE983055 QLA983054:QLA983055 QUW983054:QUW983055 RES983054:RES983055 ROO983054:ROO983055 RYK983054:RYK983055 SIG983054:SIG983055 SSC983054:SSC983055 TBY983054:TBY983055 TLU983054:TLU983055 TVQ983054:TVQ983055 UFM983054:UFM983055 UPI983054:UPI983055 UZE983054:UZE983055 VJA983054:VJA983055 VSW983054:VSW983055 WCS983054:WCS983055 JY10" xr:uid="{D8E1DF68-F224-4F19-A537-CE25ABD0B89D}"/>
    <dataValidation allowBlank="1" showInputMessage="1" showErrorMessage="1" prompt="Written Work Weighted Score" sqref="TJ67:TJ116 ADF67:ADF116 ANB67:ANB116 AWX67:AWX116 BGT67:BGT116 BQP67:BQP116 CAL67:CAL116 CKH67:CKH116 CUD67:CUD116 DDZ67:DDZ116 DNV67:DNV116 DXR67:DXR116 EHN67:EHN116 ERJ67:ERJ116 FBF67:FBF116 FLB67:FLB116 FUX67:FUX116 GET67:GET116 GOP67:GOP116 GYL67:GYL116 HIH67:HIH116 HSD67:HSD116 IBZ67:IBZ116 ILV67:ILV116 IVR67:IVR116 JFN67:JFN116 JPJ67:JPJ116 JZF67:JZF116 KJB67:KJB116 KSX67:KSX116 LCT67:LCT116 LMP67:LMP116 LWL67:LWL116 MGH67:MGH116 MQD67:MQD116 MZZ67:MZZ116 NJV67:NJV116 NTR67:NTR116 ODN67:ODN116 ONJ67:ONJ116 OXF67:OXF116 PHB67:PHB116 PQX67:PQX116 QAT67:QAT116 QKP67:QKP116 QUL67:QUL116 REH67:REH116 ROD67:ROD116 RXZ67:RXZ116 SHV67:SHV116 SRR67:SRR116 TBN67:TBN116 TLJ67:TLJ116 TVF67:TVF116 UFB67:UFB116 UOX67:UOX116 UYT67:UYT116 VIP67:VIP116 VSL67:VSL116 WCH67:WCH116 WMD67:WMD116 WVZ67:WVZ116 JN10 WVZ983054:WVZ983156 R65550:R65652 JN65550:JN65652 TJ65550:TJ65652 ADF65550:ADF65652 ANB65550:ANB65652 AWX65550:AWX65652 BGT65550:BGT65652 BQP65550:BQP65652 CAL65550:CAL65652 CKH65550:CKH65652 CUD65550:CUD65652 DDZ65550:DDZ65652 DNV65550:DNV65652 DXR65550:DXR65652 EHN65550:EHN65652 ERJ65550:ERJ65652 FBF65550:FBF65652 FLB65550:FLB65652 FUX65550:FUX65652 GET65550:GET65652 GOP65550:GOP65652 GYL65550:GYL65652 HIH65550:HIH65652 HSD65550:HSD65652 IBZ65550:IBZ65652 ILV65550:ILV65652 IVR65550:IVR65652 JFN65550:JFN65652 JPJ65550:JPJ65652 JZF65550:JZF65652 KJB65550:KJB65652 KSX65550:KSX65652 LCT65550:LCT65652 LMP65550:LMP65652 LWL65550:LWL65652 MGH65550:MGH65652 MQD65550:MQD65652 MZZ65550:MZZ65652 NJV65550:NJV65652 NTR65550:NTR65652 ODN65550:ODN65652 ONJ65550:ONJ65652 OXF65550:OXF65652 PHB65550:PHB65652 PQX65550:PQX65652 QAT65550:QAT65652 QKP65550:QKP65652 QUL65550:QUL65652 REH65550:REH65652 ROD65550:ROD65652 RXZ65550:RXZ65652 SHV65550:SHV65652 SRR65550:SRR65652 TBN65550:TBN65652 TLJ65550:TLJ65652 TVF65550:TVF65652 UFB65550:UFB65652 UOX65550:UOX65652 UYT65550:UYT65652 VIP65550:VIP65652 VSL65550:VSL65652 WCH65550:WCH65652 WMD65550:WMD65652 WVZ65550:WVZ65652 R131086:R131188 JN131086:JN131188 TJ131086:TJ131188 ADF131086:ADF131188 ANB131086:ANB131188 AWX131086:AWX131188 BGT131086:BGT131188 BQP131086:BQP131188 CAL131086:CAL131188 CKH131086:CKH131188 CUD131086:CUD131188 DDZ131086:DDZ131188 DNV131086:DNV131188 DXR131086:DXR131188 EHN131086:EHN131188 ERJ131086:ERJ131188 FBF131086:FBF131188 FLB131086:FLB131188 FUX131086:FUX131188 GET131086:GET131188 GOP131086:GOP131188 GYL131086:GYL131188 HIH131086:HIH131188 HSD131086:HSD131188 IBZ131086:IBZ131188 ILV131086:ILV131188 IVR131086:IVR131188 JFN131086:JFN131188 JPJ131086:JPJ131188 JZF131086:JZF131188 KJB131086:KJB131188 KSX131086:KSX131188 LCT131086:LCT131188 LMP131086:LMP131188 LWL131086:LWL131188 MGH131086:MGH131188 MQD131086:MQD131188 MZZ131086:MZZ131188 NJV131086:NJV131188 NTR131086:NTR131188 ODN131086:ODN131188 ONJ131086:ONJ131188 OXF131086:OXF131188 PHB131086:PHB131188 PQX131086:PQX131188 QAT131086:QAT131188 QKP131086:QKP131188 QUL131086:QUL131188 REH131086:REH131188 ROD131086:ROD131188 RXZ131086:RXZ131188 SHV131086:SHV131188 SRR131086:SRR131188 TBN131086:TBN131188 TLJ131086:TLJ131188 TVF131086:TVF131188 UFB131086:UFB131188 UOX131086:UOX131188 UYT131086:UYT131188 VIP131086:VIP131188 VSL131086:VSL131188 WCH131086:WCH131188 WMD131086:WMD131188 WVZ131086:WVZ131188 R196622:R196724 JN196622:JN196724 TJ196622:TJ196724 ADF196622:ADF196724 ANB196622:ANB196724 AWX196622:AWX196724 BGT196622:BGT196724 BQP196622:BQP196724 CAL196622:CAL196724 CKH196622:CKH196724 CUD196622:CUD196724 DDZ196622:DDZ196724 DNV196622:DNV196724 DXR196622:DXR196724 EHN196622:EHN196724 ERJ196622:ERJ196724 FBF196622:FBF196724 FLB196622:FLB196724 FUX196622:FUX196724 GET196622:GET196724 GOP196622:GOP196724 GYL196622:GYL196724 HIH196622:HIH196724 HSD196622:HSD196724 IBZ196622:IBZ196724 ILV196622:ILV196724 IVR196622:IVR196724 JFN196622:JFN196724 JPJ196622:JPJ196724 JZF196622:JZF196724 KJB196622:KJB196724 KSX196622:KSX196724 LCT196622:LCT196724 LMP196622:LMP196724 LWL196622:LWL196724 MGH196622:MGH196724 MQD196622:MQD196724 MZZ196622:MZZ196724 NJV196622:NJV196724 NTR196622:NTR196724 ODN196622:ODN196724 ONJ196622:ONJ196724 OXF196622:OXF196724 PHB196622:PHB196724 PQX196622:PQX196724 QAT196622:QAT196724 QKP196622:QKP196724 QUL196622:QUL196724 REH196622:REH196724 ROD196622:ROD196724 RXZ196622:RXZ196724 SHV196622:SHV196724 SRR196622:SRR196724 TBN196622:TBN196724 TLJ196622:TLJ196724 TVF196622:TVF196724 UFB196622:UFB196724 UOX196622:UOX196724 UYT196622:UYT196724 VIP196622:VIP196724 VSL196622:VSL196724 WCH196622:WCH196724 WMD196622:WMD196724 WVZ196622:WVZ196724 R262158:R262260 JN262158:JN262260 TJ262158:TJ262260 ADF262158:ADF262260 ANB262158:ANB262260 AWX262158:AWX262260 BGT262158:BGT262260 BQP262158:BQP262260 CAL262158:CAL262260 CKH262158:CKH262260 CUD262158:CUD262260 DDZ262158:DDZ262260 DNV262158:DNV262260 DXR262158:DXR262260 EHN262158:EHN262260 ERJ262158:ERJ262260 FBF262158:FBF262260 FLB262158:FLB262260 FUX262158:FUX262260 GET262158:GET262260 GOP262158:GOP262260 GYL262158:GYL262260 HIH262158:HIH262260 HSD262158:HSD262260 IBZ262158:IBZ262260 ILV262158:ILV262260 IVR262158:IVR262260 JFN262158:JFN262260 JPJ262158:JPJ262260 JZF262158:JZF262260 KJB262158:KJB262260 KSX262158:KSX262260 LCT262158:LCT262260 LMP262158:LMP262260 LWL262158:LWL262260 MGH262158:MGH262260 MQD262158:MQD262260 MZZ262158:MZZ262260 NJV262158:NJV262260 NTR262158:NTR262260 ODN262158:ODN262260 ONJ262158:ONJ262260 OXF262158:OXF262260 PHB262158:PHB262260 PQX262158:PQX262260 QAT262158:QAT262260 QKP262158:QKP262260 QUL262158:QUL262260 REH262158:REH262260 ROD262158:ROD262260 RXZ262158:RXZ262260 SHV262158:SHV262260 SRR262158:SRR262260 TBN262158:TBN262260 TLJ262158:TLJ262260 TVF262158:TVF262260 UFB262158:UFB262260 UOX262158:UOX262260 UYT262158:UYT262260 VIP262158:VIP262260 VSL262158:VSL262260 WCH262158:WCH262260 WMD262158:WMD262260 WVZ262158:WVZ262260 R327694:R327796 JN327694:JN327796 TJ327694:TJ327796 ADF327694:ADF327796 ANB327694:ANB327796 AWX327694:AWX327796 BGT327694:BGT327796 BQP327694:BQP327796 CAL327694:CAL327796 CKH327694:CKH327796 CUD327694:CUD327796 DDZ327694:DDZ327796 DNV327694:DNV327796 DXR327694:DXR327796 EHN327694:EHN327796 ERJ327694:ERJ327796 FBF327694:FBF327796 FLB327694:FLB327796 FUX327694:FUX327796 GET327694:GET327796 GOP327694:GOP327796 GYL327694:GYL327796 HIH327694:HIH327796 HSD327694:HSD327796 IBZ327694:IBZ327796 ILV327694:ILV327796 IVR327694:IVR327796 JFN327694:JFN327796 JPJ327694:JPJ327796 JZF327694:JZF327796 KJB327694:KJB327796 KSX327694:KSX327796 LCT327694:LCT327796 LMP327694:LMP327796 LWL327694:LWL327796 MGH327694:MGH327796 MQD327694:MQD327796 MZZ327694:MZZ327796 NJV327694:NJV327796 NTR327694:NTR327796 ODN327694:ODN327796 ONJ327694:ONJ327796 OXF327694:OXF327796 PHB327694:PHB327796 PQX327694:PQX327796 QAT327694:QAT327796 QKP327694:QKP327796 QUL327694:QUL327796 REH327694:REH327796 ROD327694:ROD327796 RXZ327694:RXZ327796 SHV327694:SHV327796 SRR327694:SRR327796 TBN327694:TBN327796 TLJ327694:TLJ327796 TVF327694:TVF327796 UFB327694:UFB327796 UOX327694:UOX327796 UYT327694:UYT327796 VIP327694:VIP327796 VSL327694:VSL327796 WCH327694:WCH327796 WMD327694:WMD327796 WVZ327694:WVZ327796 R393230:R393332 JN393230:JN393332 TJ393230:TJ393332 ADF393230:ADF393332 ANB393230:ANB393332 AWX393230:AWX393332 BGT393230:BGT393332 BQP393230:BQP393332 CAL393230:CAL393332 CKH393230:CKH393332 CUD393230:CUD393332 DDZ393230:DDZ393332 DNV393230:DNV393332 DXR393230:DXR393332 EHN393230:EHN393332 ERJ393230:ERJ393332 FBF393230:FBF393332 FLB393230:FLB393332 FUX393230:FUX393332 GET393230:GET393332 GOP393230:GOP393332 GYL393230:GYL393332 HIH393230:HIH393332 HSD393230:HSD393332 IBZ393230:IBZ393332 ILV393230:ILV393332 IVR393230:IVR393332 JFN393230:JFN393332 JPJ393230:JPJ393332 JZF393230:JZF393332 KJB393230:KJB393332 KSX393230:KSX393332 LCT393230:LCT393332 LMP393230:LMP393332 LWL393230:LWL393332 MGH393230:MGH393332 MQD393230:MQD393332 MZZ393230:MZZ393332 NJV393230:NJV393332 NTR393230:NTR393332 ODN393230:ODN393332 ONJ393230:ONJ393332 OXF393230:OXF393332 PHB393230:PHB393332 PQX393230:PQX393332 QAT393230:QAT393332 QKP393230:QKP393332 QUL393230:QUL393332 REH393230:REH393332 ROD393230:ROD393332 RXZ393230:RXZ393332 SHV393230:SHV393332 SRR393230:SRR393332 TBN393230:TBN393332 TLJ393230:TLJ393332 TVF393230:TVF393332 UFB393230:UFB393332 UOX393230:UOX393332 UYT393230:UYT393332 VIP393230:VIP393332 VSL393230:VSL393332 WCH393230:WCH393332 WMD393230:WMD393332 WVZ393230:WVZ393332 R458766:R458868 JN458766:JN458868 TJ458766:TJ458868 ADF458766:ADF458868 ANB458766:ANB458868 AWX458766:AWX458868 BGT458766:BGT458868 BQP458766:BQP458868 CAL458766:CAL458868 CKH458766:CKH458868 CUD458766:CUD458868 DDZ458766:DDZ458868 DNV458766:DNV458868 DXR458766:DXR458868 EHN458766:EHN458868 ERJ458766:ERJ458868 FBF458766:FBF458868 FLB458766:FLB458868 FUX458766:FUX458868 GET458766:GET458868 GOP458766:GOP458868 GYL458766:GYL458868 HIH458766:HIH458868 HSD458766:HSD458868 IBZ458766:IBZ458868 ILV458766:ILV458868 IVR458766:IVR458868 JFN458766:JFN458868 JPJ458766:JPJ458868 JZF458766:JZF458868 KJB458766:KJB458868 KSX458766:KSX458868 LCT458766:LCT458868 LMP458766:LMP458868 LWL458766:LWL458868 MGH458766:MGH458868 MQD458766:MQD458868 MZZ458766:MZZ458868 NJV458766:NJV458868 NTR458766:NTR458868 ODN458766:ODN458868 ONJ458766:ONJ458868 OXF458766:OXF458868 PHB458766:PHB458868 PQX458766:PQX458868 QAT458766:QAT458868 QKP458766:QKP458868 QUL458766:QUL458868 REH458766:REH458868 ROD458766:ROD458868 RXZ458766:RXZ458868 SHV458766:SHV458868 SRR458766:SRR458868 TBN458766:TBN458868 TLJ458766:TLJ458868 TVF458766:TVF458868 UFB458766:UFB458868 UOX458766:UOX458868 UYT458766:UYT458868 VIP458766:VIP458868 VSL458766:VSL458868 WCH458766:WCH458868 WMD458766:WMD458868 WVZ458766:WVZ458868 R524302:R524404 JN524302:JN524404 TJ524302:TJ524404 ADF524302:ADF524404 ANB524302:ANB524404 AWX524302:AWX524404 BGT524302:BGT524404 BQP524302:BQP524404 CAL524302:CAL524404 CKH524302:CKH524404 CUD524302:CUD524404 DDZ524302:DDZ524404 DNV524302:DNV524404 DXR524302:DXR524404 EHN524302:EHN524404 ERJ524302:ERJ524404 FBF524302:FBF524404 FLB524302:FLB524404 FUX524302:FUX524404 GET524302:GET524404 GOP524302:GOP524404 GYL524302:GYL524404 HIH524302:HIH524404 HSD524302:HSD524404 IBZ524302:IBZ524404 ILV524302:ILV524404 IVR524302:IVR524404 JFN524302:JFN524404 JPJ524302:JPJ524404 JZF524302:JZF524404 KJB524302:KJB524404 KSX524302:KSX524404 LCT524302:LCT524404 LMP524302:LMP524404 LWL524302:LWL524404 MGH524302:MGH524404 MQD524302:MQD524404 MZZ524302:MZZ524404 NJV524302:NJV524404 NTR524302:NTR524404 ODN524302:ODN524404 ONJ524302:ONJ524404 OXF524302:OXF524404 PHB524302:PHB524404 PQX524302:PQX524404 QAT524302:QAT524404 QKP524302:QKP524404 QUL524302:QUL524404 REH524302:REH524404 ROD524302:ROD524404 RXZ524302:RXZ524404 SHV524302:SHV524404 SRR524302:SRR524404 TBN524302:TBN524404 TLJ524302:TLJ524404 TVF524302:TVF524404 UFB524302:UFB524404 UOX524302:UOX524404 UYT524302:UYT524404 VIP524302:VIP524404 VSL524302:VSL524404 WCH524302:WCH524404 WMD524302:WMD524404 WVZ524302:WVZ524404 R589838:R589940 JN589838:JN589940 TJ589838:TJ589940 ADF589838:ADF589940 ANB589838:ANB589940 AWX589838:AWX589940 BGT589838:BGT589940 BQP589838:BQP589940 CAL589838:CAL589940 CKH589838:CKH589940 CUD589838:CUD589940 DDZ589838:DDZ589940 DNV589838:DNV589940 DXR589838:DXR589940 EHN589838:EHN589940 ERJ589838:ERJ589940 FBF589838:FBF589940 FLB589838:FLB589940 FUX589838:FUX589940 GET589838:GET589940 GOP589838:GOP589940 GYL589838:GYL589940 HIH589838:HIH589940 HSD589838:HSD589940 IBZ589838:IBZ589940 ILV589838:ILV589940 IVR589838:IVR589940 JFN589838:JFN589940 JPJ589838:JPJ589940 JZF589838:JZF589940 KJB589838:KJB589940 KSX589838:KSX589940 LCT589838:LCT589940 LMP589838:LMP589940 LWL589838:LWL589940 MGH589838:MGH589940 MQD589838:MQD589940 MZZ589838:MZZ589940 NJV589838:NJV589940 NTR589838:NTR589940 ODN589838:ODN589940 ONJ589838:ONJ589940 OXF589838:OXF589940 PHB589838:PHB589940 PQX589838:PQX589940 QAT589838:QAT589940 QKP589838:QKP589940 QUL589838:QUL589940 REH589838:REH589940 ROD589838:ROD589940 RXZ589838:RXZ589940 SHV589838:SHV589940 SRR589838:SRR589940 TBN589838:TBN589940 TLJ589838:TLJ589940 TVF589838:TVF589940 UFB589838:UFB589940 UOX589838:UOX589940 UYT589838:UYT589940 VIP589838:VIP589940 VSL589838:VSL589940 WCH589838:WCH589940 WMD589838:WMD589940 WVZ589838:WVZ589940 R655374:R655476 JN655374:JN655476 TJ655374:TJ655476 ADF655374:ADF655476 ANB655374:ANB655476 AWX655374:AWX655476 BGT655374:BGT655476 BQP655374:BQP655476 CAL655374:CAL655476 CKH655374:CKH655476 CUD655374:CUD655476 DDZ655374:DDZ655476 DNV655374:DNV655476 DXR655374:DXR655476 EHN655374:EHN655476 ERJ655374:ERJ655476 FBF655374:FBF655476 FLB655374:FLB655476 FUX655374:FUX655476 GET655374:GET655476 GOP655374:GOP655476 GYL655374:GYL655476 HIH655374:HIH655476 HSD655374:HSD655476 IBZ655374:IBZ655476 ILV655374:ILV655476 IVR655374:IVR655476 JFN655374:JFN655476 JPJ655374:JPJ655476 JZF655374:JZF655476 KJB655374:KJB655476 KSX655374:KSX655476 LCT655374:LCT655476 LMP655374:LMP655476 LWL655374:LWL655476 MGH655374:MGH655476 MQD655374:MQD655476 MZZ655374:MZZ655476 NJV655374:NJV655476 NTR655374:NTR655476 ODN655374:ODN655476 ONJ655374:ONJ655476 OXF655374:OXF655476 PHB655374:PHB655476 PQX655374:PQX655476 QAT655374:QAT655476 QKP655374:QKP655476 QUL655374:QUL655476 REH655374:REH655476 ROD655374:ROD655476 RXZ655374:RXZ655476 SHV655374:SHV655476 SRR655374:SRR655476 TBN655374:TBN655476 TLJ655374:TLJ655476 TVF655374:TVF655476 UFB655374:UFB655476 UOX655374:UOX655476 UYT655374:UYT655476 VIP655374:VIP655476 VSL655374:VSL655476 WCH655374:WCH655476 WMD655374:WMD655476 WVZ655374:WVZ655476 R720910:R721012 JN720910:JN721012 TJ720910:TJ721012 ADF720910:ADF721012 ANB720910:ANB721012 AWX720910:AWX721012 BGT720910:BGT721012 BQP720910:BQP721012 CAL720910:CAL721012 CKH720910:CKH721012 CUD720910:CUD721012 DDZ720910:DDZ721012 DNV720910:DNV721012 DXR720910:DXR721012 EHN720910:EHN721012 ERJ720910:ERJ721012 FBF720910:FBF721012 FLB720910:FLB721012 FUX720910:FUX721012 GET720910:GET721012 GOP720910:GOP721012 GYL720910:GYL721012 HIH720910:HIH721012 HSD720910:HSD721012 IBZ720910:IBZ721012 ILV720910:ILV721012 IVR720910:IVR721012 JFN720910:JFN721012 JPJ720910:JPJ721012 JZF720910:JZF721012 KJB720910:KJB721012 KSX720910:KSX721012 LCT720910:LCT721012 LMP720910:LMP721012 LWL720910:LWL721012 MGH720910:MGH721012 MQD720910:MQD721012 MZZ720910:MZZ721012 NJV720910:NJV721012 NTR720910:NTR721012 ODN720910:ODN721012 ONJ720910:ONJ721012 OXF720910:OXF721012 PHB720910:PHB721012 PQX720910:PQX721012 QAT720910:QAT721012 QKP720910:QKP721012 QUL720910:QUL721012 REH720910:REH721012 ROD720910:ROD721012 RXZ720910:RXZ721012 SHV720910:SHV721012 SRR720910:SRR721012 TBN720910:TBN721012 TLJ720910:TLJ721012 TVF720910:TVF721012 UFB720910:UFB721012 UOX720910:UOX721012 UYT720910:UYT721012 VIP720910:VIP721012 VSL720910:VSL721012 WCH720910:WCH721012 WMD720910:WMD721012 WVZ720910:WVZ721012 R786446:R786548 JN786446:JN786548 TJ786446:TJ786548 ADF786446:ADF786548 ANB786446:ANB786548 AWX786446:AWX786548 BGT786446:BGT786548 BQP786446:BQP786548 CAL786446:CAL786548 CKH786446:CKH786548 CUD786446:CUD786548 DDZ786446:DDZ786548 DNV786446:DNV786548 DXR786446:DXR786548 EHN786446:EHN786548 ERJ786446:ERJ786548 FBF786446:FBF786548 FLB786446:FLB786548 FUX786446:FUX786548 GET786446:GET786548 GOP786446:GOP786548 GYL786446:GYL786548 HIH786446:HIH786548 HSD786446:HSD786548 IBZ786446:IBZ786548 ILV786446:ILV786548 IVR786446:IVR786548 JFN786446:JFN786548 JPJ786446:JPJ786548 JZF786446:JZF786548 KJB786446:KJB786548 KSX786446:KSX786548 LCT786446:LCT786548 LMP786446:LMP786548 LWL786446:LWL786548 MGH786446:MGH786548 MQD786446:MQD786548 MZZ786446:MZZ786548 NJV786446:NJV786548 NTR786446:NTR786548 ODN786446:ODN786548 ONJ786446:ONJ786548 OXF786446:OXF786548 PHB786446:PHB786548 PQX786446:PQX786548 QAT786446:QAT786548 QKP786446:QKP786548 QUL786446:QUL786548 REH786446:REH786548 ROD786446:ROD786548 RXZ786446:RXZ786548 SHV786446:SHV786548 SRR786446:SRR786548 TBN786446:TBN786548 TLJ786446:TLJ786548 TVF786446:TVF786548 UFB786446:UFB786548 UOX786446:UOX786548 UYT786446:UYT786548 VIP786446:VIP786548 VSL786446:VSL786548 WCH786446:WCH786548 WMD786446:WMD786548 WVZ786446:WVZ786548 R851982:R852084 JN851982:JN852084 TJ851982:TJ852084 ADF851982:ADF852084 ANB851982:ANB852084 AWX851982:AWX852084 BGT851982:BGT852084 BQP851982:BQP852084 CAL851982:CAL852084 CKH851982:CKH852084 CUD851982:CUD852084 DDZ851982:DDZ852084 DNV851982:DNV852084 DXR851982:DXR852084 EHN851982:EHN852084 ERJ851982:ERJ852084 FBF851982:FBF852084 FLB851982:FLB852084 FUX851982:FUX852084 GET851982:GET852084 GOP851982:GOP852084 GYL851982:GYL852084 HIH851982:HIH852084 HSD851982:HSD852084 IBZ851982:IBZ852084 ILV851982:ILV852084 IVR851982:IVR852084 JFN851982:JFN852084 JPJ851982:JPJ852084 JZF851982:JZF852084 KJB851982:KJB852084 KSX851982:KSX852084 LCT851982:LCT852084 LMP851982:LMP852084 LWL851982:LWL852084 MGH851982:MGH852084 MQD851982:MQD852084 MZZ851982:MZZ852084 NJV851982:NJV852084 NTR851982:NTR852084 ODN851982:ODN852084 ONJ851982:ONJ852084 OXF851982:OXF852084 PHB851982:PHB852084 PQX851982:PQX852084 QAT851982:QAT852084 QKP851982:QKP852084 QUL851982:QUL852084 REH851982:REH852084 ROD851982:ROD852084 RXZ851982:RXZ852084 SHV851982:SHV852084 SRR851982:SRR852084 TBN851982:TBN852084 TLJ851982:TLJ852084 TVF851982:TVF852084 UFB851982:UFB852084 UOX851982:UOX852084 UYT851982:UYT852084 VIP851982:VIP852084 VSL851982:VSL852084 WCH851982:WCH852084 WMD851982:WMD852084 WVZ851982:WVZ852084 R917518:R917620 JN917518:JN917620 TJ917518:TJ917620 ADF917518:ADF917620 ANB917518:ANB917620 AWX917518:AWX917620 BGT917518:BGT917620 BQP917518:BQP917620 CAL917518:CAL917620 CKH917518:CKH917620 CUD917518:CUD917620 DDZ917518:DDZ917620 DNV917518:DNV917620 DXR917518:DXR917620 EHN917518:EHN917620 ERJ917518:ERJ917620 FBF917518:FBF917620 FLB917518:FLB917620 FUX917518:FUX917620 GET917518:GET917620 GOP917518:GOP917620 GYL917518:GYL917620 HIH917518:HIH917620 HSD917518:HSD917620 IBZ917518:IBZ917620 ILV917518:ILV917620 IVR917518:IVR917620 JFN917518:JFN917620 JPJ917518:JPJ917620 JZF917518:JZF917620 KJB917518:KJB917620 KSX917518:KSX917620 LCT917518:LCT917620 LMP917518:LMP917620 LWL917518:LWL917620 MGH917518:MGH917620 MQD917518:MQD917620 MZZ917518:MZZ917620 NJV917518:NJV917620 NTR917518:NTR917620 ODN917518:ODN917620 ONJ917518:ONJ917620 OXF917518:OXF917620 PHB917518:PHB917620 PQX917518:PQX917620 QAT917518:QAT917620 QKP917518:QKP917620 QUL917518:QUL917620 REH917518:REH917620 ROD917518:ROD917620 RXZ917518:RXZ917620 SHV917518:SHV917620 SRR917518:SRR917620 TBN917518:TBN917620 TLJ917518:TLJ917620 TVF917518:TVF917620 UFB917518:UFB917620 UOX917518:UOX917620 UYT917518:UYT917620 VIP917518:VIP917620 VSL917518:VSL917620 WCH917518:WCH917620 WMD917518:WMD917620 WVZ917518:WVZ917620 R983054:R983156 JN983054:JN983156 TJ983054:TJ983156 ADF983054:ADF983156 ANB983054:ANB983156 AWX983054:AWX983156 BGT983054:BGT983156 BQP983054:BQP983156 CAL983054:CAL983156 CKH983054:CKH983156 CUD983054:CUD983156 DDZ983054:DDZ983156 DNV983054:DNV983156 DXR983054:DXR983156 EHN983054:EHN983156 ERJ983054:ERJ983156 FBF983054:FBF983156 FLB983054:FLB983156 FUX983054:FUX983156 GET983054:GET983156 GOP983054:GOP983156 GYL983054:GYL983156 HIH983054:HIH983156 HSD983054:HSD983156 IBZ983054:IBZ983156 ILV983054:ILV983156 IVR983054:IVR983156 JFN983054:JFN983156 JPJ983054:JPJ983156 JZF983054:JZF983156 KJB983054:KJB983156 KSX983054:KSX983156 LCT983054:LCT983156 LMP983054:LMP983156 LWL983054:LWL983156 MGH983054:MGH983156 MQD983054:MQD983156 MZZ983054:MZZ983156 NJV983054:NJV983156 NTR983054:NTR983156 ODN983054:ODN983156 ONJ983054:ONJ983156 OXF983054:OXF983156 PHB983054:PHB983156 PQX983054:PQX983156 QAT983054:QAT983156 QKP983054:QKP983156 QUL983054:QUL983156 REH983054:REH983156 ROD983054:ROD983156 RXZ983054:RXZ983156 SHV983054:SHV983156 SRR983054:SRR983156 TBN983054:TBN983156 TLJ983054:TLJ983156 TVF983054:TVF983156 UFB983054:UFB983156 UOX983054:UOX983156 UYT983054:UYT983156 VIP983054:VIP983156 VSL983054:VSL983156 WCH983054:WCH983156 WMD983054:WMD983156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5 WMD12:WMD65 WCH12:WCH65 VSL12:VSL65 VIP12:VIP65 UYT12:UYT65 UOX12:UOX65 UFB12:UFB65 TVF12:TVF65 TLJ12:TLJ65 TBN12:TBN65 SRR12:SRR65 SHV12:SHV65 RXZ12:RXZ65 ROD12:ROD65 REH12:REH65 QUL12:QUL65 QKP12:QKP65 QAT12:QAT65 PQX12:PQX65 PHB12:PHB65 OXF12:OXF65 ONJ12:ONJ65 ODN12:ODN65 NTR12:NTR65 NJV12:NJV65 MZZ12:MZZ65 MQD12:MQD65 MGH12:MGH65 LWL12:LWL65 LMP12:LMP65 LCT12:LCT65 KSX12:KSX65 KJB12:KJB65 JZF12:JZF65 JPJ12:JPJ65 JFN12:JFN65 IVR12:IVR65 ILV12:ILV65 IBZ12:IBZ65 HSD12:HSD65 HIH12:HIH65 GYL12:GYL65 GOP12:GOP65 GET12:GET65 FUX12:FUX65 FLB12:FLB65 FBF12:FBF65 ERJ12:ERJ65 EHN12:EHN65 DXR12:DXR65 DNV12:DNV65 DDZ12:DDZ65 CUD12:CUD65 CKH12:CKH65 CAL12:CAL65 BQP12:BQP65 BGT12:BGT65 AWX12:AWX65 ANB12:ANB65 ADF12:ADF65 TJ12:TJ65 JN12:JN65 JN67:JN116" xr:uid="{291905F8-120D-4306-AB3D-BA9BF8F7B5E9}"/>
    <dataValidation allowBlank="1" showInputMessage="1" showErrorMessage="1" prompt="Written Work Percentage Score" sqref="TI67:TI116 ADE67:ADE116 ANA67:ANA116 AWW67:AWW116 BGS67:BGS116 BQO67:BQO116 CAK67:CAK116 CKG67:CKG116 CUC67:CUC116 DDY67:DDY116 DNU67:DNU116 DXQ67:DXQ116 EHM67:EHM116 ERI67:ERI116 FBE67:FBE116 FLA67:FLA116 FUW67:FUW116 GES67:GES116 GOO67:GOO116 GYK67:GYK116 HIG67:HIG116 HSC67:HSC116 IBY67:IBY116 ILU67:ILU116 IVQ67:IVQ116 JFM67:JFM116 JPI67:JPI116 JZE67:JZE116 KJA67:KJA116 KSW67:KSW116 LCS67:LCS116 LMO67:LMO116 LWK67:LWK116 MGG67:MGG116 MQC67:MQC116 MZY67:MZY116 NJU67:NJU116 NTQ67:NTQ116 ODM67:ODM116 ONI67:ONI116 OXE67:OXE116 PHA67:PHA116 PQW67:PQW116 QAS67:QAS116 QKO67:QKO116 QUK67:QUK116 REG67:REG116 ROC67:ROC116 RXY67:RXY116 SHU67:SHU116 SRQ67:SRQ116 TBM67:TBM116 TLI67:TLI116 TVE67:TVE116 UFA67:UFA116 UOW67:UOW116 UYS67:UYS116 VIO67:VIO116 VSK67:VSK116 WCG67:WCG116 WMC67:WMC116 WVY67:WVY116 JM10 WVY983054:WVY983156 Q65550:Q65652 JM65550:JM65652 TI65550:TI65652 ADE65550:ADE65652 ANA65550:ANA65652 AWW65550:AWW65652 BGS65550:BGS65652 BQO65550:BQO65652 CAK65550:CAK65652 CKG65550:CKG65652 CUC65550:CUC65652 DDY65550:DDY65652 DNU65550:DNU65652 DXQ65550:DXQ65652 EHM65550:EHM65652 ERI65550:ERI65652 FBE65550:FBE65652 FLA65550:FLA65652 FUW65550:FUW65652 GES65550:GES65652 GOO65550:GOO65652 GYK65550:GYK65652 HIG65550:HIG65652 HSC65550:HSC65652 IBY65550:IBY65652 ILU65550:ILU65652 IVQ65550:IVQ65652 JFM65550:JFM65652 JPI65550:JPI65652 JZE65550:JZE65652 KJA65550:KJA65652 KSW65550:KSW65652 LCS65550:LCS65652 LMO65550:LMO65652 LWK65550:LWK65652 MGG65550:MGG65652 MQC65550:MQC65652 MZY65550:MZY65652 NJU65550:NJU65652 NTQ65550:NTQ65652 ODM65550:ODM65652 ONI65550:ONI65652 OXE65550:OXE65652 PHA65550:PHA65652 PQW65550:PQW65652 QAS65550:QAS65652 QKO65550:QKO65652 QUK65550:QUK65652 REG65550:REG65652 ROC65550:ROC65652 RXY65550:RXY65652 SHU65550:SHU65652 SRQ65550:SRQ65652 TBM65550:TBM65652 TLI65550:TLI65652 TVE65550:TVE65652 UFA65550:UFA65652 UOW65550:UOW65652 UYS65550:UYS65652 VIO65550:VIO65652 VSK65550:VSK65652 WCG65550:WCG65652 WMC65550:WMC65652 WVY65550:WVY65652 Q131086:Q131188 JM131086:JM131188 TI131086:TI131188 ADE131086:ADE131188 ANA131086:ANA131188 AWW131086:AWW131188 BGS131086:BGS131188 BQO131086:BQO131188 CAK131086:CAK131188 CKG131086:CKG131188 CUC131086:CUC131188 DDY131086:DDY131188 DNU131086:DNU131188 DXQ131086:DXQ131188 EHM131086:EHM131188 ERI131086:ERI131188 FBE131086:FBE131188 FLA131086:FLA131188 FUW131086:FUW131188 GES131086:GES131188 GOO131086:GOO131188 GYK131086:GYK131188 HIG131086:HIG131188 HSC131086:HSC131188 IBY131086:IBY131188 ILU131086:ILU131188 IVQ131086:IVQ131188 JFM131086:JFM131188 JPI131086:JPI131188 JZE131086:JZE131188 KJA131086:KJA131188 KSW131086:KSW131188 LCS131086:LCS131188 LMO131086:LMO131188 LWK131086:LWK131188 MGG131086:MGG131188 MQC131086:MQC131188 MZY131086:MZY131188 NJU131086:NJU131188 NTQ131086:NTQ131188 ODM131086:ODM131188 ONI131086:ONI131188 OXE131086:OXE131188 PHA131086:PHA131188 PQW131086:PQW131188 QAS131086:QAS131188 QKO131086:QKO131188 QUK131086:QUK131188 REG131086:REG131188 ROC131086:ROC131188 RXY131086:RXY131188 SHU131086:SHU131188 SRQ131086:SRQ131188 TBM131086:TBM131188 TLI131086:TLI131188 TVE131086:TVE131188 UFA131086:UFA131188 UOW131086:UOW131188 UYS131086:UYS131188 VIO131086:VIO131188 VSK131086:VSK131188 WCG131086:WCG131188 WMC131086:WMC131188 WVY131086:WVY131188 Q196622:Q196724 JM196622:JM196724 TI196622:TI196724 ADE196622:ADE196724 ANA196622:ANA196724 AWW196622:AWW196724 BGS196622:BGS196724 BQO196622:BQO196724 CAK196622:CAK196724 CKG196622:CKG196724 CUC196622:CUC196724 DDY196622:DDY196724 DNU196622:DNU196724 DXQ196622:DXQ196724 EHM196622:EHM196724 ERI196622:ERI196724 FBE196622:FBE196724 FLA196622:FLA196724 FUW196622:FUW196724 GES196622:GES196724 GOO196622:GOO196724 GYK196622:GYK196724 HIG196622:HIG196724 HSC196622:HSC196724 IBY196622:IBY196724 ILU196622:ILU196724 IVQ196622:IVQ196724 JFM196622:JFM196724 JPI196622:JPI196724 JZE196622:JZE196724 KJA196622:KJA196724 KSW196622:KSW196724 LCS196622:LCS196724 LMO196622:LMO196724 LWK196622:LWK196724 MGG196622:MGG196724 MQC196622:MQC196724 MZY196622:MZY196724 NJU196622:NJU196724 NTQ196622:NTQ196724 ODM196622:ODM196724 ONI196622:ONI196724 OXE196622:OXE196724 PHA196622:PHA196724 PQW196622:PQW196724 QAS196622:QAS196724 QKO196622:QKO196724 QUK196622:QUK196724 REG196622:REG196724 ROC196622:ROC196724 RXY196622:RXY196724 SHU196622:SHU196724 SRQ196622:SRQ196724 TBM196622:TBM196724 TLI196622:TLI196724 TVE196622:TVE196724 UFA196622:UFA196724 UOW196622:UOW196724 UYS196622:UYS196724 VIO196622:VIO196724 VSK196622:VSK196724 WCG196622:WCG196724 WMC196622:WMC196724 WVY196622:WVY196724 Q262158:Q262260 JM262158:JM262260 TI262158:TI262260 ADE262158:ADE262260 ANA262158:ANA262260 AWW262158:AWW262260 BGS262158:BGS262260 BQO262158:BQO262260 CAK262158:CAK262260 CKG262158:CKG262260 CUC262158:CUC262260 DDY262158:DDY262260 DNU262158:DNU262260 DXQ262158:DXQ262260 EHM262158:EHM262260 ERI262158:ERI262260 FBE262158:FBE262260 FLA262158:FLA262260 FUW262158:FUW262260 GES262158:GES262260 GOO262158:GOO262260 GYK262158:GYK262260 HIG262158:HIG262260 HSC262158:HSC262260 IBY262158:IBY262260 ILU262158:ILU262260 IVQ262158:IVQ262260 JFM262158:JFM262260 JPI262158:JPI262260 JZE262158:JZE262260 KJA262158:KJA262260 KSW262158:KSW262260 LCS262158:LCS262260 LMO262158:LMO262260 LWK262158:LWK262260 MGG262158:MGG262260 MQC262158:MQC262260 MZY262158:MZY262260 NJU262158:NJU262260 NTQ262158:NTQ262260 ODM262158:ODM262260 ONI262158:ONI262260 OXE262158:OXE262260 PHA262158:PHA262260 PQW262158:PQW262260 QAS262158:QAS262260 QKO262158:QKO262260 QUK262158:QUK262260 REG262158:REG262260 ROC262158:ROC262260 RXY262158:RXY262260 SHU262158:SHU262260 SRQ262158:SRQ262260 TBM262158:TBM262260 TLI262158:TLI262260 TVE262158:TVE262260 UFA262158:UFA262260 UOW262158:UOW262260 UYS262158:UYS262260 VIO262158:VIO262260 VSK262158:VSK262260 WCG262158:WCG262260 WMC262158:WMC262260 WVY262158:WVY262260 Q327694:Q327796 JM327694:JM327796 TI327694:TI327796 ADE327694:ADE327796 ANA327694:ANA327796 AWW327694:AWW327796 BGS327694:BGS327796 BQO327694:BQO327796 CAK327694:CAK327796 CKG327694:CKG327796 CUC327694:CUC327796 DDY327694:DDY327796 DNU327694:DNU327796 DXQ327694:DXQ327796 EHM327694:EHM327796 ERI327694:ERI327796 FBE327694:FBE327796 FLA327694:FLA327796 FUW327694:FUW327796 GES327694:GES327796 GOO327694:GOO327796 GYK327694:GYK327796 HIG327694:HIG327796 HSC327694:HSC327796 IBY327694:IBY327796 ILU327694:ILU327796 IVQ327694:IVQ327796 JFM327694:JFM327796 JPI327694:JPI327796 JZE327694:JZE327796 KJA327694:KJA327796 KSW327694:KSW327796 LCS327694:LCS327796 LMO327694:LMO327796 LWK327694:LWK327796 MGG327694:MGG327796 MQC327694:MQC327796 MZY327694:MZY327796 NJU327694:NJU327796 NTQ327694:NTQ327796 ODM327694:ODM327796 ONI327694:ONI327796 OXE327694:OXE327796 PHA327694:PHA327796 PQW327694:PQW327796 QAS327694:QAS327796 QKO327694:QKO327796 QUK327694:QUK327796 REG327694:REG327796 ROC327694:ROC327796 RXY327694:RXY327796 SHU327694:SHU327796 SRQ327694:SRQ327796 TBM327694:TBM327796 TLI327694:TLI327796 TVE327694:TVE327796 UFA327694:UFA327796 UOW327694:UOW327796 UYS327694:UYS327796 VIO327694:VIO327796 VSK327694:VSK327796 WCG327694:WCG327796 WMC327694:WMC327796 WVY327694:WVY327796 Q393230:Q393332 JM393230:JM393332 TI393230:TI393332 ADE393230:ADE393332 ANA393230:ANA393332 AWW393230:AWW393332 BGS393230:BGS393332 BQO393230:BQO393332 CAK393230:CAK393332 CKG393230:CKG393332 CUC393230:CUC393332 DDY393230:DDY393332 DNU393230:DNU393332 DXQ393230:DXQ393332 EHM393230:EHM393332 ERI393230:ERI393332 FBE393230:FBE393332 FLA393230:FLA393332 FUW393230:FUW393332 GES393230:GES393332 GOO393230:GOO393332 GYK393230:GYK393332 HIG393230:HIG393332 HSC393230:HSC393332 IBY393230:IBY393332 ILU393230:ILU393332 IVQ393230:IVQ393332 JFM393230:JFM393332 JPI393230:JPI393332 JZE393230:JZE393332 KJA393230:KJA393332 KSW393230:KSW393332 LCS393230:LCS393332 LMO393230:LMO393332 LWK393230:LWK393332 MGG393230:MGG393332 MQC393230:MQC393332 MZY393230:MZY393332 NJU393230:NJU393332 NTQ393230:NTQ393332 ODM393230:ODM393332 ONI393230:ONI393332 OXE393230:OXE393332 PHA393230:PHA393332 PQW393230:PQW393332 QAS393230:QAS393332 QKO393230:QKO393332 QUK393230:QUK393332 REG393230:REG393332 ROC393230:ROC393332 RXY393230:RXY393332 SHU393230:SHU393332 SRQ393230:SRQ393332 TBM393230:TBM393332 TLI393230:TLI393332 TVE393230:TVE393332 UFA393230:UFA393332 UOW393230:UOW393332 UYS393230:UYS393332 VIO393230:VIO393332 VSK393230:VSK393332 WCG393230:WCG393332 WMC393230:WMC393332 WVY393230:WVY393332 Q458766:Q458868 JM458766:JM458868 TI458766:TI458868 ADE458766:ADE458868 ANA458766:ANA458868 AWW458766:AWW458868 BGS458766:BGS458868 BQO458766:BQO458868 CAK458766:CAK458868 CKG458766:CKG458868 CUC458766:CUC458868 DDY458766:DDY458868 DNU458766:DNU458868 DXQ458766:DXQ458868 EHM458766:EHM458868 ERI458766:ERI458868 FBE458766:FBE458868 FLA458766:FLA458868 FUW458766:FUW458868 GES458766:GES458868 GOO458766:GOO458868 GYK458766:GYK458868 HIG458766:HIG458868 HSC458766:HSC458868 IBY458766:IBY458868 ILU458766:ILU458868 IVQ458766:IVQ458868 JFM458766:JFM458868 JPI458766:JPI458868 JZE458766:JZE458868 KJA458766:KJA458868 KSW458766:KSW458868 LCS458766:LCS458868 LMO458766:LMO458868 LWK458766:LWK458868 MGG458766:MGG458868 MQC458766:MQC458868 MZY458766:MZY458868 NJU458766:NJU458868 NTQ458766:NTQ458868 ODM458766:ODM458868 ONI458766:ONI458868 OXE458766:OXE458868 PHA458766:PHA458868 PQW458766:PQW458868 QAS458766:QAS458868 QKO458766:QKO458868 QUK458766:QUK458868 REG458766:REG458868 ROC458766:ROC458868 RXY458766:RXY458868 SHU458766:SHU458868 SRQ458766:SRQ458868 TBM458766:TBM458868 TLI458766:TLI458868 TVE458766:TVE458868 UFA458766:UFA458868 UOW458766:UOW458868 UYS458766:UYS458868 VIO458766:VIO458868 VSK458766:VSK458868 WCG458766:WCG458868 WMC458766:WMC458868 WVY458766:WVY458868 Q524302:Q524404 JM524302:JM524404 TI524302:TI524404 ADE524302:ADE524404 ANA524302:ANA524404 AWW524302:AWW524404 BGS524302:BGS524404 BQO524302:BQO524404 CAK524302:CAK524404 CKG524302:CKG524404 CUC524302:CUC524404 DDY524302:DDY524404 DNU524302:DNU524404 DXQ524302:DXQ524404 EHM524302:EHM524404 ERI524302:ERI524404 FBE524302:FBE524404 FLA524302:FLA524404 FUW524302:FUW524404 GES524302:GES524404 GOO524302:GOO524404 GYK524302:GYK524404 HIG524302:HIG524404 HSC524302:HSC524404 IBY524302:IBY524404 ILU524302:ILU524404 IVQ524302:IVQ524404 JFM524302:JFM524404 JPI524302:JPI524404 JZE524302:JZE524404 KJA524302:KJA524404 KSW524302:KSW524404 LCS524302:LCS524404 LMO524302:LMO524404 LWK524302:LWK524404 MGG524302:MGG524404 MQC524302:MQC524404 MZY524302:MZY524404 NJU524302:NJU524404 NTQ524302:NTQ524404 ODM524302:ODM524404 ONI524302:ONI524404 OXE524302:OXE524404 PHA524302:PHA524404 PQW524302:PQW524404 QAS524302:QAS524404 QKO524302:QKO524404 QUK524302:QUK524404 REG524302:REG524404 ROC524302:ROC524404 RXY524302:RXY524404 SHU524302:SHU524404 SRQ524302:SRQ524404 TBM524302:TBM524404 TLI524302:TLI524404 TVE524302:TVE524404 UFA524302:UFA524404 UOW524302:UOW524404 UYS524302:UYS524404 VIO524302:VIO524404 VSK524302:VSK524404 WCG524302:WCG524404 WMC524302:WMC524404 WVY524302:WVY524404 Q589838:Q589940 JM589838:JM589940 TI589838:TI589940 ADE589838:ADE589940 ANA589838:ANA589940 AWW589838:AWW589940 BGS589838:BGS589940 BQO589838:BQO589940 CAK589838:CAK589940 CKG589838:CKG589940 CUC589838:CUC589940 DDY589838:DDY589940 DNU589838:DNU589940 DXQ589838:DXQ589940 EHM589838:EHM589940 ERI589838:ERI589940 FBE589838:FBE589940 FLA589838:FLA589940 FUW589838:FUW589940 GES589838:GES589940 GOO589838:GOO589940 GYK589838:GYK589940 HIG589838:HIG589940 HSC589838:HSC589940 IBY589838:IBY589940 ILU589838:ILU589940 IVQ589838:IVQ589940 JFM589838:JFM589940 JPI589838:JPI589940 JZE589838:JZE589940 KJA589838:KJA589940 KSW589838:KSW589940 LCS589838:LCS589940 LMO589838:LMO589940 LWK589838:LWK589940 MGG589838:MGG589940 MQC589838:MQC589940 MZY589838:MZY589940 NJU589838:NJU589940 NTQ589838:NTQ589940 ODM589838:ODM589940 ONI589838:ONI589940 OXE589838:OXE589940 PHA589838:PHA589940 PQW589838:PQW589940 QAS589838:QAS589940 QKO589838:QKO589940 QUK589838:QUK589940 REG589838:REG589940 ROC589838:ROC589940 RXY589838:RXY589940 SHU589838:SHU589940 SRQ589838:SRQ589940 TBM589838:TBM589940 TLI589838:TLI589940 TVE589838:TVE589940 UFA589838:UFA589940 UOW589838:UOW589940 UYS589838:UYS589940 VIO589838:VIO589940 VSK589838:VSK589940 WCG589838:WCG589940 WMC589838:WMC589940 WVY589838:WVY589940 Q655374:Q655476 JM655374:JM655476 TI655374:TI655476 ADE655374:ADE655476 ANA655374:ANA655476 AWW655374:AWW655476 BGS655374:BGS655476 BQO655374:BQO655476 CAK655374:CAK655476 CKG655374:CKG655476 CUC655374:CUC655476 DDY655374:DDY655476 DNU655374:DNU655476 DXQ655374:DXQ655476 EHM655374:EHM655476 ERI655374:ERI655476 FBE655374:FBE655476 FLA655374:FLA655476 FUW655374:FUW655476 GES655374:GES655476 GOO655374:GOO655476 GYK655374:GYK655476 HIG655374:HIG655476 HSC655374:HSC655476 IBY655374:IBY655476 ILU655374:ILU655476 IVQ655374:IVQ655476 JFM655374:JFM655476 JPI655374:JPI655476 JZE655374:JZE655476 KJA655374:KJA655476 KSW655374:KSW655476 LCS655374:LCS655476 LMO655374:LMO655476 LWK655374:LWK655476 MGG655374:MGG655476 MQC655374:MQC655476 MZY655374:MZY655476 NJU655374:NJU655476 NTQ655374:NTQ655476 ODM655374:ODM655476 ONI655374:ONI655476 OXE655374:OXE655476 PHA655374:PHA655476 PQW655374:PQW655476 QAS655374:QAS655476 QKO655374:QKO655476 QUK655374:QUK655476 REG655374:REG655476 ROC655374:ROC655476 RXY655374:RXY655476 SHU655374:SHU655476 SRQ655374:SRQ655476 TBM655374:TBM655476 TLI655374:TLI655476 TVE655374:TVE655476 UFA655374:UFA655476 UOW655374:UOW655476 UYS655374:UYS655476 VIO655374:VIO655476 VSK655374:VSK655476 WCG655374:WCG655476 WMC655374:WMC655476 WVY655374:WVY655476 Q720910:Q721012 JM720910:JM721012 TI720910:TI721012 ADE720910:ADE721012 ANA720910:ANA721012 AWW720910:AWW721012 BGS720910:BGS721012 BQO720910:BQO721012 CAK720910:CAK721012 CKG720910:CKG721012 CUC720910:CUC721012 DDY720910:DDY721012 DNU720910:DNU721012 DXQ720910:DXQ721012 EHM720910:EHM721012 ERI720910:ERI721012 FBE720910:FBE721012 FLA720910:FLA721012 FUW720910:FUW721012 GES720910:GES721012 GOO720910:GOO721012 GYK720910:GYK721012 HIG720910:HIG721012 HSC720910:HSC721012 IBY720910:IBY721012 ILU720910:ILU721012 IVQ720910:IVQ721012 JFM720910:JFM721012 JPI720910:JPI721012 JZE720910:JZE721012 KJA720910:KJA721012 KSW720910:KSW721012 LCS720910:LCS721012 LMO720910:LMO721012 LWK720910:LWK721012 MGG720910:MGG721012 MQC720910:MQC721012 MZY720910:MZY721012 NJU720910:NJU721012 NTQ720910:NTQ721012 ODM720910:ODM721012 ONI720910:ONI721012 OXE720910:OXE721012 PHA720910:PHA721012 PQW720910:PQW721012 QAS720910:QAS721012 QKO720910:QKO721012 QUK720910:QUK721012 REG720910:REG721012 ROC720910:ROC721012 RXY720910:RXY721012 SHU720910:SHU721012 SRQ720910:SRQ721012 TBM720910:TBM721012 TLI720910:TLI721012 TVE720910:TVE721012 UFA720910:UFA721012 UOW720910:UOW721012 UYS720910:UYS721012 VIO720910:VIO721012 VSK720910:VSK721012 WCG720910:WCG721012 WMC720910:WMC721012 WVY720910:WVY721012 Q786446:Q786548 JM786446:JM786548 TI786446:TI786548 ADE786446:ADE786548 ANA786446:ANA786548 AWW786446:AWW786548 BGS786446:BGS786548 BQO786446:BQO786548 CAK786446:CAK786548 CKG786446:CKG786548 CUC786446:CUC786548 DDY786446:DDY786548 DNU786446:DNU786548 DXQ786446:DXQ786548 EHM786446:EHM786548 ERI786446:ERI786548 FBE786446:FBE786548 FLA786446:FLA786548 FUW786446:FUW786548 GES786446:GES786548 GOO786446:GOO786548 GYK786446:GYK786548 HIG786446:HIG786548 HSC786446:HSC786548 IBY786446:IBY786548 ILU786446:ILU786548 IVQ786446:IVQ786548 JFM786446:JFM786548 JPI786446:JPI786548 JZE786446:JZE786548 KJA786446:KJA786548 KSW786446:KSW786548 LCS786446:LCS786548 LMO786446:LMO786548 LWK786446:LWK786548 MGG786446:MGG786548 MQC786446:MQC786548 MZY786446:MZY786548 NJU786446:NJU786548 NTQ786446:NTQ786548 ODM786446:ODM786548 ONI786446:ONI786548 OXE786446:OXE786548 PHA786446:PHA786548 PQW786446:PQW786548 QAS786446:QAS786548 QKO786446:QKO786548 QUK786446:QUK786548 REG786446:REG786548 ROC786446:ROC786548 RXY786446:RXY786548 SHU786446:SHU786548 SRQ786446:SRQ786548 TBM786446:TBM786548 TLI786446:TLI786548 TVE786446:TVE786548 UFA786446:UFA786548 UOW786446:UOW786548 UYS786446:UYS786548 VIO786446:VIO786548 VSK786446:VSK786548 WCG786446:WCG786548 WMC786446:WMC786548 WVY786446:WVY786548 Q851982:Q852084 JM851982:JM852084 TI851982:TI852084 ADE851982:ADE852084 ANA851982:ANA852084 AWW851982:AWW852084 BGS851982:BGS852084 BQO851982:BQO852084 CAK851982:CAK852084 CKG851982:CKG852084 CUC851982:CUC852084 DDY851982:DDY852084 DNU851982:DNU852084 DXQ851982:DXQ852084 EHM851982:EHM852084 ERI851982:ERI852084 FBE851982:FBE852084 FLA851982:FLA852084 FUW851982:FUW852084 GES851982:GES852084 GOO851982:GOO852084 GYK851982:GYK852084 HIG851982:HIG852084 HSC851982:HSC852084 IBY851982:IBY852084 ILU851982:ILU852084 IVQ851982:IVQ852084 JFM851982:JFM852084 JPI851982:JPI852084 JZE851982:JZE852084 KJA851982:KJA852084 KSW851982:KSW852084 LCS851982:LCS852084 LMO851982:LMO852084 LWK851982:LWK852084 MGG851982:MGG852084 MQC851982:MQC852084 MZY851982:MZY852084 NJU851982:NJU852084 NTQ851982:NTQ852084 ODM851982:ODM852084 ONI851982:ONI852084 OXE851982:OXE852084 PHA851982:PHA852084 PQW851982:PQW852084 QAS851982:QAS852084 QKO851982:QKO852084 QUK851982:QUK852084 REG851982:REG852084 ROC851982:ROC852084 RXY851982:RXY852084 SHU851982:SHU852084 SRQ851982:SRQ852084 TBM851982:TBM852084 TLI851982:TLI852084 TVE851982:TVE852084 UFA851982:UFA852084 UOW851982:UOW852084 UYS851982:UYS852084 VIO851982:VIO852084 VSK851982:VSK852084 WCG851982:WCG852084 WMC851982:WMC852084 WVY851982:WVY852084 Q917518:Q917620 JM917518:JM917620 TI917518:TI917620 ADE917518:ADE917620 ANA917518:ANA917620 AWW917518:AWW917620 BGS917518:BGS917620 BQO917518:BQO917620 CAK917518:CAK917620 CKG917518:CKG917620 CUC917518:CUC917620 DDY917518:DDY917620 DNU917518:DNU917620 DXQ917518:DXQ917620 EHM917518:EHM917620 ERI917518:ERI917620 FBE917518:FBE917620 FLA917518:FLA917620 FUW917518:FUW917620 GES917518:GES917620 GOO917518:GOO917620 GYK917518:GYK917620 HIG917518:HIG917620 HSC917518:HSC917620 IBY917518:IBY917620 ILU917518:ILU917620 IVQ917518:IVQ917620 JFM917518:JFM917620 JPI917518:JPI917620 JZE917518:JZE917620 KJA917518:KJA917620 KSW917518:KSW917620 LCS917518:LCS917620 LMO917518:LMO917620 LWK917518:LWK917620 MGG917518:MGG917620 MQC917518:MQC917620 MZY917518:MZY917620 NJU917518:NJU917620 NTQ917518:NTQ917620 ODM917518:ODM917620 ONI917518:ONI917620 OXE917518:OXE917620 PHA917518:PHA917620 PQW917518:PQW917620 QAS917518:QAS917620 QKO917518:QKO917620 QUK917518:QUK917620 REG917518:REG917620 ROC917518:ROC917620 RXY917518:RXY917620 SHU917518:SHU917620 SRQ917518:SRQ917620 TBM917518:TBM917620 TLI917518:TLI917620 TVE917518:TVE917620 UFA917518:UFA917620 UOW917518:UOW917620 UYS917518:UYS917620 VIO917518:VIO917620 VSK917518:VSK917620 WCG917518:WCG917620 WMC917518:WMC917620 WVY917518:WVY917620 Q983054:Q983156 JM983054:JM983156 TI983054:TI983156 ADE983054:ADE983156 ANA983054:ANA983156 AWW983054:AWW983156 BGS983054:BGS983156 BQO983054:BQO983156 CAK983054:CAK983156 CKG983054:CKG983156 CUC983054:CUC983156 DDY983054:DDY983156 DNU983054:DNU983156 DXQ983054:DXQ983156 EHM983054:EHM983156 ERI983054:ERI983156 FBE983054:FBE983156 FLA983054:FLA983156 FUW983054:FUW983156 GES983054:GES983156 GOO983054:GOO983156 GYK983054:GYK983156 HIG983054:HIG983156 HSC983054:HSC983156 IBY983054:IBY983156 ILU983054:ILU983156 IVQ983054:IVQ983156 JFM983054:JFM983156 JPI983054:JPI983156 JZE983054:JZE983156 KJA983054:KJA983156 KSW983054:KSW983156 LCS983054:LCS983156 LMO983054:LMO983156 LWK983054:LWK983156 MGG983054:MGG983156 MQC983054:MQC983156 MZY983054:MZY983156 NJU983054:NJU983156 NTQ983054:NTQ983156 ODM983054:ODM983156 ONI983054:ONI983156 OXE983054:OXE983156 PHA983054:PHA983156 PQW983054:PQW983156 QAS983054:QAS983156 QKO983054:QKO983156 QUK983054:QUK983156 REG983054:REG983156 ROC983054:ROC983156 RXY983054:RXY983156 SHU983054:SHU983156 SRQ983054:SRQ983156 TBM983054:TBM983156 TLI983054:TLI983156 TVE983054:TVE983156 UFA983054:UFA983156 UOW983054:UOW983156 UYS983054:UYS983156 VIO983054:VIO983156 VSK983054:VSK983156 WCG983054:WCG983156 WMC983054:WMC983156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5 WMC12:WMC65 WCG12:WCG65 VSK12:VSK65 VIO12:VIO65 UYS12:UYS65 UOW12:UOW65 UFA12:UFA65 TVE12:TVE65 TLI12:TLI65 TBM12:TBM65 SRQ12:SRQ65 SHU12:SHU65 RXY12:RXY65 ROC12:ROC65 REG12:REG65 QUK12:QUK65 QKO12:QKO65 QAS12:QAS65 PQW12:PQW65 PHA12:PHA65 OXE12:OXE65 ONI12:ONI65 ODM12:ODM65 NTQ12:NTQ65 NJU12:NJU65 MZY12:MZY65 MQC12:MQC65 MGG12:MGG65 LWK12:LWK65 LMO12:LMO65 LCS12:LCS65 KSW12:KSW65 KJA12:KJA65 JZE12:JZE65 JPI12:JPI65 JFM12:JFM65 IVQ12:IVQ65 ILU12:ILU65 IBY12:IBY65 HSC12:HSC65 HIG12:HIG65 GYK12:GYK65 GOO12:GOO65 GES12:GES65 FUW12:FUW65 FLA12:FLA65 FBE12:FBE65 ERI12:ERI65 EHM12:EHM65 DXQ12:DXQ65 DNU12:DNU65 DDY12:DDY65 CUC12:CUC65 CKG12:CKG65 CAK12:CAK65 BQO12:BQO65 BGS12:BGS65 AWW12:AWW65 ANA12:ANA65 ADE12:ADE65 TI12:TI65 JM12:JM65 JM67:JM116" xr:uid="{B9EFE23F-8C7A-4CA0-9889-FAC55467DE69}"/>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4:WVX983055 P65550:P65551 JL65550:JL65551 TH65550:TH65551 ADD65550:ADD65551 AMZ65550:AMZ65551 AWV65550:AWV65551 BGR65550:BGR65551 BQN65550:BQN65551 CAJ65550:CAJ65551 CKF65550:CKF65551 CUB65550:CUB65551 DDX65550:DDX65551 DNT65550:DNT65551 DXP65550:DXP65551 EHL65550:EHL65551 ERH65550:ERH65551 FBD65550:FBD65551 FKZ65550:FKZ65551 FUV65550:FUV65551 GER65550:GER65551 GON65550:GON65551 GYJ65550:GYJ65551 HIF65550:HIF65551 HSB65550:HSB65551 IBX65550:IBX65551 ILT65550:ILT65551 IVP65550:IVP65551 JFL65550:JFL65551 JPH65550:JPH65551 JZD65550:JZD65551 KIZ65550:KIZ65551 KSV65550:KSV65551 LCR65550:LCR65551 LMN65550:LMN65551 LWJ65550:LWJ65551 MGF65550:MGF65551 MQB65550:MQB65551 MZX65550:MZX65551 NJT65550:NJT65551 NTP65550:NTP65551 ODL65550:ODL65551 ONH65550:ONH65551 OXD65550:OXD65551 PGZ65550:PGZ65551 PQV65550:PQV65551 QAR65550:QAR65551 QKN65550:QKN65551 QUJ65550:QUJ65551 REF65550:REF65551 ROB65550:ROB65551 RXX65550:RXX65551 SHT65550:SHT65551 SRP65550:SRP65551 TBL65550:TBL65551 TLH65550:TLH65551 TVD65550:TVD65551 UEZ65550:UEZ65551 UOV65550:UOV65551 UYR65550:UYR65551 VIN65550:VIN65551 VSJ65550:VSJ65551 WCF65550:WCF65551 WMB65550:WMB65551 WVX65550:WVX65551 P131086:P131087 JL131086:JL131087 TH131086:TH131087 ADD131086:ADD131087 AMZ131086:AMZ131087 AWV131086:AWV131087 BGR131086:BGR131087 BQN131086:BQN131087 CAJ131086:CAJ131087 CKF131086:CKF131087 CUB131086:CUB131087 DDX131086:DDX131087 DNT131086:DNT131087 DXP131086:DXP131087 EHL131086:EHL131087 ERH131086:ERH131087 FBD131086:FBD131087 FKZ131086:FKZ131087 FUV131086:FUV131087 GER131086:GER131087 GON131086:GON131087 GYJ131086:GYJ131087 HIF131086:HIF131087 HSB131086:HSB131087 IBX131086:IBX131087 ILT131086:ILT131087 IVP131086:IVP131087 JFL131086:JFL131087 JPH131086:JPH131087 JZD131086:JZD131087 KIZ131086:KIZ131087 KSV131086:KSV131087 LCR131086:LCR131087 LMN131086:LMN131087 LWJ131086:LWJ131087 MGF131086:MGF131087 MQB131086:MQB131087 MZX131086:MZX131087 NJT131086:NJT131087 NTP131086:NTP131087 ODL131086:ODL131087 ONH131086:ONH131087 OXD131086:OXD131087 PGZ131086:PGZ131087 PQV131086:PQV131087 QAR131086:QAR131087 QKN131086:QKN131087 QUJ131086:QUJ131087 REF131086:REF131087 ROB131086:ROB131087 RXX131086:RXX131087 SHT131086:SHT131087 SRP131086:SRP131087 TBL131086:TBL131087 TLH131086:TLH131087 TVD131086:TVD131087 UEZ131086:UEZ131087 UOV131086:UOV131087 UYR131086:UYR131087 VIN131086:VIN131087 VSJ131086:VSJ131087 WCF131086:WCF131087 WMB131086:WMB131087 WVX131086:WVX131087 P196622:P196623 JL196622:JL196623 TH196622:TH196623 ADD196622:ADD196623 AMZ196622:AMZ196623 AWV196622:AWV196623 BGR196622:BGR196623 BQN196622:BQN196623 CAJ196622:CAJ196623 CKF196622:CKF196623 CUB196622:CUB196623 DDX196622:DDX196623 DNT196622:DNT196623 DXP196622:DXP196623 EHL196622:EHL196623 ERH196622:ERH196623 FBD196622:FBD196623 FKZ196622:FKZ196623 FUV196622:FUV196623 GER196622:GER196623 GON196622:GON196623 GYJ196622:GYJ196623 HIF196622:HIF196623 HSB196622:HSB196623 IBX196622:IBX196623 ILT196622:ILT196623 IVP196622:IVP196623 JFL196622:JFL196623 JPH196622:JPH196623 JZD196622:JZD196623 KIZ196622:KIZ196623 KSV196622:KSV196623 LCR196622:LCR196623 LMN196622:LMN196623 LWJ196622:LWJ196623 MGF196622:MGF196623 MQB196622:MQB196623 MZX196622:MZX196623 NJT196622:NJT196623 NTP196622:NTP196623 ODL196622:ODL196623 ONH196622:ONH196623 OXD196622:OXD196623 PGZ196622:PGZ196623 PQV196622:PQV196623 QAR196622:QAR196623 QKN196622:QKN196623 QUJ196622:QUJ196623 REF196622:REF196623 ROB196622:ROB196623 RXX196622:RXX196623 SHT196622:SHT196623 SRP196622:SRP196623 TBL196622:TBL196623 TLH196622:TLH196623 TVD196622:TVD196623 UEZ196622:UEZ196623 UOV196622:UOV196623 UYR196622:UYR196623 VIN196622:VIN196623 VSJ196622:VSJ196623 WCF196622:WCF196623 WMB196622:WMB196623 WVX196622:WVX196623 P262158:P262159 JL262158:JL262159 TH262158:TH262159 ADD262158:ADD262159 AMZ262158:AMZ262159 AWV262158:AWV262159 BGR262158:BGR262159 BQN262158:BQN262159 CAJ262158:CAJ262159 CKF262158:CKF262159 CUB262158:CUB262159 DDX262158:DDX262159 DNT262158:DNT262159 DXP262158:DXP262159 EHL262158:EHL262159 ERH262158:ERH262159 FBD262158:FBD262159 FKZ262158:FKZ262159 FUV262158:FUV262159 GER262158:GER262159 GON262158:GON262159 GYJ262158:GYJ262159 HIF262158:HIF262159 HSB262158:HSB262159 IBX262158:IBX262159 ILT262158:ILT262159 IVP262158:IVP262159 JFL262158:JFL262159 JPH262158:JPH262159 JZD262158:JZD262159 KIZ262158:KIZ262159 KSV262158:KSV262159 LCR262158:LCR262159 LMN262158:LMN262159 LWJ262158:LWJ262159 MGF262158:MGF262159 MQB262158:MQB262159 MZX262158:MZX262159 NJT262158:NJT262159 NTP262158:NTP262159 ODL262158:ODL262159 ONH262158:ONH262159 OXD262158:OXD262159 PGZ262158:PGZ262159 PQV262158:PQV262159 QAR262158:QAR262159 QKN262158:QKN262159 QUJ262158:QUJ262159 REF262158:REF262159 ROB262158:ROB262159 RXX262158:RXX262159 SHT262158:SHT262159 SRP262158:SRP262159 TBL262158:TBL262159 TLH262158:TLH262159 TVD262158:TVD262159 UEZ262158:UEZ262159 UOV262158:UOV262159 UYR262158:UYR262159 VIN262158:VIN262159 VSJ262158:VSJ262159 WCF262158:WCF262159 WMB262158:WMB262159 WVX262158:WVX262159 P327694:P327695 JL327694:JL327695 TH327694:TH327695 ADD327694:ADD327695 AMZ327694:AMZ327695 AWV327694:AWV327695 BGR327694:BGR327695 BQN327694:BQN327695 CAJ327694:CAJ327695 CKF327694:CKF327695 CUB327694:CUB327695 DDX327694:DDX327695 DNT327694:DNT327695 DXP327694:DXP327695 EHL327694:EHL327695 ERH327694:ERH327695 FBD327694:FBD327695 FKZ327694:FKZ327695 FUV327694:FUV327695 GER327694:GER327695 GON327694:GON327695 GYJ327694:GYJ327695 HIF327694:HIF327695 HSB327694:HSB327695 IBX327694:IBX327695 ILT327694:ILT327695 IVP327694:IVP327695 JFL327694:JFL327695 JPH327694:JPH327695 JZD327694:JZD327695 KIZ327694:KIZ327695 KSV327694:KSV327695 LCR327694:LCR327695 LMN327694:LMN327695 LWJ327694:LWJ327695 MGF327694:MGF327695 MQB327694:MQB327695 MZX327694:MZX327695 NJT327694:NJT327695 NTP327694:NTP327695 ODL327694:ODL327695 ONH327694:ONH327695 OXD327694:OXD327695 PGZ327694:PGZ327695 PQV327694:PQV327695 QAR327694:QAR327695 QKN327694:QKN327695 QUJ327694:QUJ327695 REF327694:REF327695 ROB327694:ROB327695 RXX327694:RXX327695 SHT327694:SHT327695 SRP327694:SRP327695 TBL327694:TBL327695 TLH327694:TLH327695 TVD327694:TVD327695 UEZ327694:UEZ327695 UOV327694:UOV327695 UYR327694:UYR327695 VIN327694:VIN327695 VSJ327694:VSJ327695 WCF327694:WCF327695 WMB327694:WMB327695 WVX327694:WVX327695 P393230:P393231 JL393230:JL393231 TH393230:TH393231 ADD393230:ADD393231 AMZ393230:AMZ393231 AWV393230:AWV393231 BGR393230:BGR393231 BQN393230:BQN393231 CAJ393230:CAJ393231 CKF393230:CKF393231 CUB393230:CUB393231 DDX393230:DDX393231 DNT393230:DNT393231 DXP393230:DXP393231 EHL393230:EHL393231 ERH393230:ERH393231 FBD393230:FBD393231 FKZ393230:FKZ393231 FUV393230:FUV393231 GER393230:GER393231 GON393230:GON393231 GYJ393230:GYJ393231 HIF393230:HIF393231 HSB393230:HSB393231 IBX393230:IBX393231 ILT393230:ILT393231 IVP393230:IVP393231 JFL393230:JFL393231 JPH393230:JPH393231 JZD393230:JZD393231 KIZ393230:KIZ393231 KSV393230:KSV393231 LCR393230:LCR393231 LMN393230:LMN393231 LWJ393230:LWJ393231 MGF393230:MGF393231 MQB393230:MQB393231 MZX393230:MZX393231 NJT393230:NJT393231 NTP393230:NTP393231 ODL393230:ODL393231 ONH393230:ONH393231 OXD393230:OXD393231 PGZ393230:PGZ393231 PQV393230:PQV393231 QAR393230:QAR393231 QKN393230:QKN393231 QUJ393230:QUJ393231 REF393230:REF393231 ROB393230:ROB393231 RXX393230:RXX393231 SHT393230:SHT393231 SRP393230:SRP393231 TBL393230:TBL393231 TLH393230:TLH393231 TVD393230:TVD393231 UEZ393230:UEZ393231 UOV393230:UOV393231 UYR393230:UYR393231 VIN393230:VIN393231 VSJ393230:VSJ393231 WCF393230:WCF393231 WMB393230:WMB393231 WVX393230:WVX393231 P458766:P458767 JL458766:JL458767 TH458766:TH458767 ADD458766:ADD458767 AMZ458766:AMZ458767 AWV458766:AWV458767 BGR458766:BGR458767 BQN458766:BQN458767 CAJ458766:CAJ458767 CKF458766:CKF458767 CUB458766:CUB458767 DDX458766:DDX458767 DNT458766:DNT458767 DXP458766:DXP458767 EHL458766:EHL458767 ERH458766:ERH458767 FBD458766:FBD458767 FKZ458766:FKZ458767 FUV458766:FUV458767 GER458766:GER458767 GON458766:GON458767 GYJ458766:GYJ458767 HIF458766:HIF458767 HSB458766:HSB458767 IBX458766:IBX458767 ILT458766:ILT458767 IVP458766:IVP458767 JFL458766:JFL458767 JPH458766:JPH458767 JZD458766:JZD458767 KIZ458766:KIZ458767 KSV458766:KSV458767 LCR458766:LCR458767 LMN458766:LMN458767 LWJ458766:LWJ458767 MGF458766:MGF458767 MQB458766:MQB458767 MZX458766:MZX458767 NJT458766:NJT458767 NTP458766:NTP458767 ODL458766:ODL458767 ONH458766:ONH458767 OXD458766:OXD458767 PGZ458766:PGZ458767 PQV458766:PQV458767 QAR458766:QAR458767 QKN458766:QKN458767 QUJ458766:QUJ458767 REF458766:REF458767 ROB458766:ROB458767 RXX458766:RXX458767 SHT458766:SHT458767 SRP458766:SRP458767 TBL458766:TBL458767 TLH458766:TLH458767 TVD458766:TVD458767 UEZ458766:UEZ458767 UOV458766:UOV458767 UYR458766:UYR458767 VIN458766:VIN458767 VSJ458766:VSJ458767 WCF458766:WCF458767 WMB458766:WMB458767 WVX458766:WVX458767 P524302:P524303 JL524302:JL524303 TH524302:TH524303 ADD524302:ADD524303 AMZ524302:AMZ524303 AWV524302:AWV524303 BGR524302:BGR524303 BQN524302:BQN524303 CAJ524302:CAJ524303 CKF524302:CKF524303 CUB524302:CUB524303 DDX524302:DDX524303 DNT524302:DNT524303 DXP524302:DXP524303 EHL524302:EHL524303 ERH524302:ERH524303 FBD524302:FBD524303 FKZ524302:FKZ524303 FUV524302:FUV524303 GER524302:GER524303 GON524302:GON524303 GYJ524302:GYJ524303 HIF524302:HIF524303 HSB524302:HSB524303 IBX524302:IBX524303 ILT524302:ILT524303 IVP524302:IVP524303 JFL524302:JFL524303 JPH524302:JPH524303 JZD524302:JZD524303 KIZ524302:KIZ524303 KSV524302:KSV524303 LCR524302:LCR524303 LMN524302:LMN524303 LWJ524302:LWJ524303 MGF524302:MGF524303 MQB524302:MQB524303 MZX524302:MZX524303 NJT524302:NJT524303 NTP524302:NTP524303 ODL524302:ODL524303 ONH524302:ONH524303 OXD524302:OXD524303 PGZ524302:PGZ524303 PQV524302:PQV524303 QAR524302:QAR524303 QKN524302:QKN524303 QUJ524302:QUJ524303 REF524302:REF524303 ROB524302:ROB524303 RXX524302:RXX524303 SHT524302:SHT524303 SRP524302:SRP524303 TBL524302:TBL524303 TLH524302:TLH524303 TVD524302:TVD524303 UEZ524302:UEZ524303 UOV524302:UOV524303 UYR524302:UYR524303 VIN524302:VIN524303 VSJ524302:VSJ524303 WCF524302:WCF524303 WMB524302:WMB524303 WVX524302:WVX524303 P589838:P589839 JL589838:JL589839 TH589838:TH589839 ADD589838:ADD589839 AMZ589838:AMZ589839 AWV589838:AWV589839 BGR589838:BGR589839 BQN589838:BQN589839 CAJ589838:CAJ589839 CKF589838:CKF589839 CUB589838:CUB589839 DDX589838:DDX589839 DNT589838:DNT589839 DXP589838:DXP589839 EHL589838:EHL589839 ERH589838:ERH589839 FBD589838:FBD589839 FKZ589838:FKZ589839 FUV589838:FUV589839 GER589838:GER589839 GON589838:GON589839 GYJ589838:GYJ589839 HIF589838:HIF589839 HSB589838:HSB589839 IBX589838:IBX589839 ILT589838:ILT589839 IVP589838:IVP589839 JFL589838:JFL589839 JPH589838:JPH589839 JZD589838:JZD589839 KIZ589838:KIZ589839 KSV589838:KSV589839 LCR589838:LCR589839 LMN589838:LMN589839 LWJ589838:LWJ589839 MGF589838:MGF589839 MQB589838:MQB589839 MZX589838:MZX589839 NJT589838:NJT589839 NTP589838:NTP589839 ODL589838:ODL589839 ONH589838:ONH589839 OXD589838:OXD589839 PGZ589838:PGZ589839 PQV589838:PQV589839 QAR589838:QAR589839 QKN589838:QKN589839 QUJ589838:QUJ589839 REF589838:REF589839 ROB589838:ROB589839 RXX589838:RXX589839 SHT589838:SHT589839 SRP589838:SRP589839 TBL589838:TBL589839 TLH589838:TLH589839 TVD589838:TVD589839 UEZ589838:UEZ589839 UOV589838:UOV589839 UYR589838:UYR589839 VIN589838:VIN589839 VSJ589838:VSJ589839 WCF589838:WCF589839 WMB589838:WMB589839 WVX589838:WVX589839 P655374:P655375 JL655374:JL655375 TH655374:TH655375 ADD655374:ADD655375 AMZ655374:AMZ655375 AWV655374:AWV655375 BGR655374:BGR655375 BQN655374:BQN655375 CAJ655374:CAJ655375 CKF655374:CKF655375 CUB655374:CUB655375 DDX655374:DDX655375 DNT655374:DNT655375 DXP655374:DXP655375 EHL655374:EHL655375 ERH655374:ERH655375 FBD655374:FBD655375 FKZ655374:FKZ655375 FUV655374:FUV655375 GER655374:GER655375 GON655374:GON655375 GYJ655374:GYJ655375 HIF655374:HIF655375 HSB655374:HSB655375 IBX655374:IBX655375 ILT655374:ILT655375 IVP655374:IVP655375 JFL655374:JFL655375 JPH655374:JPH655375 JZD655374:JZD655375 KIZ655374:KIZ655375 KSV655374:KSV655375 LCR655374:LCR655375 LMN655374:LMN655375 LWJ655374:LWJ655375 MGF655374:MGF655375 MQB655374:MQB655375 MZX655374:MZX655375 NJT655374:NJT655375 NTP655374:NTP655375 ODL655374:ODL655375 ONH655374:ONH655375 OXD655374:OXD655375 PGZ655374:PGZ655375 PQV655374:PQV655375 QAR655374:QAR655375 QKN655374:QKN655375 QUJ655374:QUJ655375 REF655374:REF655375 ROB655374:ROB655375 RXX655374:RXX655375 SHT655374:SHT655375 SRP655374:SRP655375 TBL655374:TBL655375 TLH655374:TLH655375 TVD655374:TVD655375 UEZ655374:UEZ655375 UOV655374:UOV655375 UYR655374:UYR655375 VIN655374:VIN655375 VSJ655374:VSJ655375 WCF655374:WCF655375 WMB655374:WMB655375 WVX655374:WVX655375 P720910:P720911 JL720910:JL720911 TH720910:TH720911 ADD720910:ADD720911 AMZ720910:AMZ720911 AWV720910:AWV720911 BGR720910:BGR720911 BQN720910:BQN720911 CAJ720910:CAJ720911 CKF720910:CKF720911 CUB720910:CUB720911 DDX720910:DDX720911 DNT720910:DNT720911 DXP720910:DXP720911 EHL720910:EHL720911 ERH720910:ERH720911 FBD720910:FBD720911 FKZ720910:FKZ720911 FUV720910:FUV720911 GER720910:GER720911 GON720910:GON720911 GYJ720910:GYJ720911 HIF720910:HIF720911 HSB720910:HSB720911 IBX720910:IBX720911 ILT720910:ILT720911 IVP720910:IVP720911 JFL720910:JFL720911 JPH720910:JPH720911 JZD720910:JZD720911 KIZ720910:KIZ720911 KSV720910:KSV720911 LCR720910:LCR720911 LMN720910:LMN720911 LWJ720910:LWJ720911 MGF720910:MGF720911 MQB720910:MQB720911 MZX720910:MZX720911 NJT720910:NJT720911 NTP720910:NTP720911 ODL720910:ODL720911 ONH720910:ONH720911 OXD720910:OXD720911 PGZ720910:PGZ720911 PQV720910:PQV720911 QAR720910:QAR720911 QKN720910:QKN720911 QUJ720910:QUJ720911 REF720910:REF720911 ROB720910:ROB720911 RXX720910:RXX720911 SHT720910:SHT720911 SRP720910:SRP720911 TBL720910:TBL720911 TLH720910:TLH720911 TVD720910:TVD720911 UEZ720910:UEZ720911 UOV720910:UOV720911 UYR720910:UYR720911 VIN720910:VIN720911 VSJ720910:VSJ720911 WCF720910:WCF720911 WMB720910:WMB720911 WVX720910:WVX720911 P786446:P786447 JL786446:JL786447 TH786446:TH786447 ADD786446:ADD786447 AMZ786446:AMZ786447 AWV786446:AWV786447 BGR786446:BGR786447 BQN786446:BQN786447 CAJ786446:CAJ786447 CKF786446:CKF786447 CUB786446:CUB786447 DDX786446:DDX786447 DNT786446:DNT786447 DXP786446:DXP786447 EHL786446:EHL786447 ERH786446:ERH786447 FBD786446:FBD786447 FKZ786446:FKZ786447 FUV786446:FUV786447 GER786446:GER786447 GON786446:GON786447 GYJ786446:GYJ786447 HIF786446:HIF786447 HSB786446:HSB786447 IBX786446:IBX786447 ILT786446:ILT786447 IVP786446:IVP786447 JFL786446:JFL786447 JPH786446:JPH786447 JZD786446:JZD786447 KIZ786446:KIZ786447 KSV786446:KSV786447 LCR786446:LCR786447 LMN786446:LMN786447 LWJ786446:LWJ786447 MGF786446:MGF786447 MQB786446:MQB786447 MZX786446:MZX786447 NJT786446:NJT786447 NTP786446:NTP786447 ODL786446:ODL786447 ONH786446:ONH786447 OXD786446:OXD786447 PGZ786446:PGZ786447 PQV786446:PQV786447 QAR786446:QAR786447 QKN786446:QKN786447 QUJ786446:QUJ786447 REF786446:REF786447 ROB786446:ROB786447 RXX786446:RXX786447 SHT786446:SHT786447 SRP786446:SRP786447 TBL786446:TBL786447 TLH786446:TLH786447 TVD786446:TVD786447 UEZ786446:UEZ786447 UOV786446:UOV786447 UYR786446:UYR786447 VIN786446:VIN786447 VSJ786446:VSJ786447 WCF786446:WCF786447 WMB786446:WMB786447 WVX786446:WVX786447 P851982:P851983 JL851982:JL851983 TH851982:TH851983 ADD851982:ADD851983 AMZ851982:AMZ851983 AWV851982:AWV851983 BGR851982:BGR851983 BQN851982:BQN851983 CAJ851982:CAJ851983 CKF851982:CKF851983 CUB851982:CUB851983 DDX851982:DDX851983 DNT851982:DNT851983 DXP851982:DXP851983 EHL851982:EHL851983 ERH851982:ERH851983 FBD851982:FBD851983 FKZ851982:FKZ851983 FUV851982:FUV851983 GER851982:GER851983 GON851982:GON851983 GYJ851982:GYJ851983 HIF851982:HIF851983 HSB851982:HSB851983 IBX851982:IBX851983 ILT851982:ILT851983 IVP851982:IVP851983 JFL851982:JFL851983 JPH851982:JPH851983 JZD851982:JZD851983 KIZ851982:KIZ851983 KSV851982:KSV851983 LCR851982:LCR851983 LMN851982:LMN851983 LWJ851982:LWJ851983 MGF851982:MGF851983 MQB851982:MQB851983 MZX851982:MZX851983 NJT851982:NJT851983 NTP851982:NTP851983 ODL851982:ODL851983 ONH851982:ONH851983 OXD851982:OXD851983 PGZ851982:PGZ851983 PQV851982:PQV851983 QAR851982:QAR851983 QKN851982:QKN851983 QUJ851982:QUJ851983 REF851982:REF851983 ROB851982:ROB851983 RXX851982:RXX851983 SHT851982:SHT851983 SRP851982:SRP851983 TBL851982:TBL851983 TLH851982:TLH851983 TVD851982:TVD851983 UEZ851982:UEZ851983 UOV851982:UOV851983 UYR851982:UYR851983 VIN851982:VIN851983 VSJ851982:VSJ851983 WCF851982:WCF851983 WMB851982:WMB851983 WVX851982:WVX851983 P917518:P917519 JL917518:JL917519 TH917518:TH917519 ADD917518:ADD917519 AMZ917518:AMZ917519 AWV917518:AWV917519 BGR917518:BGR917519 BQN917518:BQN917519 CAJ917518:CAJ917519 CKF917518:CKF917519 CUB917518:CUB917519 DDX917518:DDX917519 DNT917518:DNT917519 DXP917518:DXP917519 EHL917518:EHL917519 ERH917518:ERH917519 FBD917518:FBD917519 FKZ917518:FKZ917519 FUV917518:FUV917519 GER917518:GER917519 GON917518:GON917519 GYJ917518:GYJ917519 HIF917518:HIF917519 HSB917518:HSB917519 IBX917518:IBX917519 ILT917518:ILT917519 IVP917518:IVP917519 JFL917518:JFL917519 JPH917518:JPH917519 JZD917518:JZD917519 KIZ917518:KIZ917519 KSV917518:KSV917519 LCR917518:LCR917519 LMN917518:LMN917519 LWJ917518:LWJ917519 MGF917518:MGF917519 MQB917518:MQB917519 MZX917518:MZX917519 NJT917518:NJT917519 NTP917518:NTP917519 ODL917518:ODL917519 ONH917518:ONH917519 OXD917518:OXD917519 PGZ917518:PGZ917519 PQV917518:PQV917519 QAR917518:QAR917519 QKN917518:QKN917519 QUJ917518:QUJ917519 REF917518:REF917519 ROB917518:ROB917519 RXX917518:RXX917519 SHT917518:SHT917519 SRP917518:SRP917519 TBL917518:TBL917519 TLH917518:TLH917519 TVD917518:TVD917519 UEZ917518:UEZ917519 UOV917518:UOV917519 UYR917518:UYR917519 VIN917518:VIN917519 VSJ917518:VSJ917519 WCF917518:WCF917519 WMB917518:WMB917519 WVX917518:WVX917519 P983054:P983055 JL983054:JL983055 TH983054:TH983055 ADD983054:ADD983055 AMZ983054:AMZ983055 AWV983054:AWV983055 BGR983054:BGR983055 BQN983054:BQN983055 CAJ983054:CAJ983055 CKF983054:CKF983055 CUB983054:CUB983055 DDX983054:DDX983055 DNT983054:DNT983055 DXP983054:DXP983055 EHL983054:EHL983055 ERH983054:ERH983055 FBD983054:FBD983055 FKZ983054:FKZ983055 FUV983054:FUV983055 GER983054:GER983055 GON983054:GON983055 GYJ983054:GYJ983055 HIF983054:HIF983055 HSB983054:HSB983055 IBX983054:IBX983055 ILT983054:ILT983055 IVP983054:IVP983055 JFL983054:JFL983055 JPH983054:JPH983055 JZD983054:JZD983055 KIZ983054:KIZ983055 KSV983054:KSV983055 LCR983054:LCR983055 LMN983054:LMN983055 LWJ983054:LWJ983055 MGF983054:MGF983055 MQB983054:MQB983055 MZX983054:MZX983055 NJT983054:NJT983055 NTP983054:NTP983055 ODL983054:ODL983055 ONH983054:ONH983055 OXD983054:OXD983055 PGZ983054:PGZ983055 PQV983054:PQV983055 QAR983054:QAR983055 QKN983054:QKN983055 QUJ983054:QUJ983055 REF983054:REF983055 ROB983054:ROB983055 RXX983054:RXX983055 SHT983054:SHT983055 SRP983054:SRP983055 TBL983054:TBL983055 TLH983054:TLH983055 TVD983054:TVD983055 UEZ983054:UEZ983055 UOV983054:UOV983055 UYR983054:UYR983055 VIN983054:VIN983055 VSJ983054:VSJ983055 WCF983054:WCF983055 WMB983054:WMB983055" xr:uid="{1E98827D-CD53-4CCC-8906-EE9FBA311819}"/>
    <dataValidation allowBlank="1" showInputMessage="1" showErrorMessage="1" prompt="Written work total raw score" sqref="WVX983056:WVX983156 TH67:TH116 ADD67:ADD116 AMZ67:AMZ116 AWV67:AWV116 BGR67:BGR116 BQN67:BQN116 CAJ67:CAJ116 CKF67:CKF116 CUB67:CUB116 DDX67:DDX116 DNT67:DNT116 DXP67:DXP116 EHL67:EHL116 ERH67:ERH116 FBD67:FBD116 FKZ67:FKZ116 FUV67:FUV116 GER67:GER116 GON67:GON116 GYJ67:GYJ116 HIF67:HIF116 HSB67:HSB116 IBX67:IBX116 ILT67:ILT116 IVP67:IVP116 JFL67:JFL116 JPH67:JPH116 JZD67:JZD116 KIZ67:KIZ116 KSV67:KSV116 LCR67:LCR116 LMN67:LMN116 LWJ67:LWJ116 MGF67:MGF116 MQB67:MQB116 MZX67:MZX116 NJT67:NJT116 NTP67:NTP116 ODL67:ODL116 ONH67:ONH116 OXD67:OXD116 PGZ67:PGZ116 PQV67:PQV116 QAR67:QAR116 QKN67:QKN116 QUJ67:QUJ116 REF67:REF116 ROB67:ROB116 RXX67:RXX116 SHT67:SHT116 SRP67:SRP116 TBL67:TBL116 TLH67:TLH116 TVD67:TVD116 UEZ67:UEZ116 UOV67:UOV116 UYR67:UYR116 VIN67:VIN116 VSJ67:VSJ116 WCF67:WCF116 WMB67:WMB116 WVX67:WVX116 WMB983056:WMB983156 P65552:P65652 JL65552:JL65652 TH65552:TH65652 ADD65552:ADD65652 AMZ65552:AMZ65652 AWV65552:AWV65652 BGR65552:BGR65652 BQN65552:BQN65652 CAJ65552:CAJ65652 CKF65552:CKF65652 CUB65552:CUB65652 DDX65552:DDX65652 DNT65552:DNT65652 DXP65552:DXP65652 EHL65552:EHL65652 ERH65552:ERH65652 FBD65552:FBD65652 FKZ65552:FKZ65652 FUV65552:FUV65652 GER65552:GER65652 GON65552:GON65652 GYJ65552:GYJ65652 HIF65552:HIF65652 HSB65552:HSB65652 IBX65552:IBX65652 ILT65552:ILT65652 IVP65552:IVP65652 JFL65552:JFL65652 JPH65552:JPH65652 JZD65552:JZD65652 KIZ65552:KIZ65652 KSV65552:KSV65652 LCR65552:LCR65652 LMN65552:LMN65652 LWJ65552:LWJ65652 MGF65552:MGF65652 MQB65552:MQB65652 MZX65552:MZX65652 NJT65552:NJT65652 NTP65552:NTP65652 ODL65552:ODL65652 ONH65552:ONH65652 OXD65552:OXD65652 PGZ65552:PGZ65652 PQV65552:PQV65652 QAR65552:QAR65652 QKN65552:QKN65652 QUJ65552:QUJ65652 REF65552:REF65652 ROB65552:ROB65652 RXX65552:RXX65652 SHT65552:SHT65652 SRP65552:SRP65652 TBL65552:TBL65652 TLH65552:TLH65652 TVD65552:TVD65652 UEZ65552:UEZ65652 UOV65552:UOV65652 UYR65552:UYR65652 VIN65552:VIN65652 VSJ65552:VSJ65652 WCF65552:WCF65652 WMB65552:WMB65652 WVX65552:WVX65652 P131088:P131188 JL131088:JL131188 TH131088:TH131188 ADD131088:ADD131188 AMZ131088:AMZ131188 AWV131088:AWV131188 BGR131088:BGR131188 BQN131088:BQN131188 CAJ131088:CAJ131188 CKF131088:CKF131188 CUB131088:CUB131188 DDX131088:DDX131188 DNT131088:DNT131188 DXP131088:DXP131188 EHL131088:EHL131188 ERH131088:ERH131188 FBD131088:FBD131188 FKZ131088:FKZ131188 FUV131088:FUV131188 GER131088:GER131188 GON131088:GON131188 GYJ131088:GYJ131188 HIF131088:HIF131188 HSB131088:HSB131188 IBX131088:IBX131188 ILT131088:ILT131188 IVP131088:IVP131188 JFL131088:JFL131188 JPH131088:JPH131188 JZD131088:JZD131188 KIZ131088:KIZ131188 KSV131088:KSV131188 LCR131088:LCR131188 LMN131088:LMN131188 LWJ131088:LWJ131188 MGF131088:MGF131188 MQB131088:MQB131188 MZX131088:MZX131188 NJT131088:NJT131188 NTP131088:NTP131188 ODL131088:ODL131188 ONH131088:ONH131188 OXD131088:OXD131188 PGZ131088:PGZ131188 PQV131088:PQV131188 QAR131088:QAR131188 QKN131088:QKN131188 QUJ131088:QUJ131188 REF131088:REF131188 ROB131088:ROB131188 RXX131088:RXX131188 SHT131088:SHT131188 SRP131088:SRP131188 TBL131088:TBL131188 TLH131088:TLH131188 TVD131088:TVD131188 UEZ131088:UEZ131188 UOV131088:UOV131188 UYR131088:UYR131188 VIN131088:VIN131188 VSJ131088:VSJ131188 WCF131088:WCF131188 WMB131088:WMB131188 WVX131088:WVX131188 P196624:P196724 JL196624:JL196724 TH196624:TH196724 ADD196624:ADD196724 AMZ196624:AMZ196724 AWV196624:AWV196724 BGR196624:BGR196724 BQN196624:BQN196724 CAJ196624:CAJ196724 CKF196624:CKF196724 CUB196624:CUB196724 DDX196624:DDX196724 DNT196624:DNT196724 DXP196624:DXP196724 EHL196624:EHL196724 ERH196624:ERH196724 FBD196624:FBD196724 FKZ196624:FKZ196724 FUV196624:FUV196724 GER196624:GER196724 GON196624:GON196724 GYJ196624:GYJ196724 HIF196624:HIF196724 HSB196624:HSB196724 IBX196624:IBX196724 ILT196624:ILT196724 IVP196624:IVP196724 JFL196624:JFL196724 JPH196624:JPH196724 JZD196624:JZD196724 KIZ196624:KIZ196724 KSV196624:KSV196724 LCR196624:LCR196724 LMN196624:LMN196724 LWJ196624:LWJ196724 MGF196624:MGF196724 MQB196624:MQB196724 MZX196624:MZX196724 NJT196624:NJT196724 NTP196624:NTP196724 ODL196624:ODL196724 ONH196624:ONH196724 OXD196624:OXD196724 PGZ196624:PGZ196724 PQV196624:PQV196724 QAR196624:QAR196724 QKN196624:QKN196724 QUJ196624:QUJ196724 REF196624:REF196724 ROB196624:ROB196724 RXX196624:RXX196724 SHT196624:SHT196724 SRP196624:SRP196724 TBL196624:TBL196724 TLH196624:TLH196724 TVD196624:TVD196724 UEZ196624:UEZ196724 UOV196624:UOV196724 UYR196624:UYR196724 VIN196624:VIN196724 VSJ196624:VSJ196724 WCF196624:WCF196724 WMB196624:WMB196724 WVX196624:WVX196724 P262160:P262260 JL262160:JL262260 TH262160:TH262260 ADD262160:ADD262260 AMZ262160:AMZ262260 AWV262160:AWV262260 BGR262160:BGR262260 BQN262160:BQN262260 CAJ262160:CAJ262260 CKF262160:CKF262260 CUB262160:CUB262260 DDX262160:DDX262260 DNT262160:DNT262260 DXP262160:DXP262260 EHL262160:EHL262260 ERH262160:ERH262260 FBD262160:FBD262260 FKZ262160:FKZ262260 FUV262160:FUV262260 GER262160:GER262260 GON262160:GON262260 GYJ262160:GYJ262260 HIF262160:HIF262260 HSB262160:HSB262260 IBX262160:IBX262260 ILT262160:ILT262260 IVP262160:IVP262260 JFL262160:JFL262260 JPH262160:JPH262260 JZD262160:JZD262260 KIZ262160:KIZ262260 KSV262160:KSV262260 LCR262160:LCR262260 LMN262160:LMN262260 LWJ262160:LWJ262260 MGF262160:MGF262260 MQB262160:MQB262260 MZX262160:MZX262260 NJT262160:NJT262260 NTP262160:NTP262260 ODL262160:ODL262260 ONH262160:ONH262260 OXD262160:OXD262260 PGZ262160:PGZ262260 PQV262160:PQV262260 QAR262160:QAR262260 QKN262160:QKN262260 QUJ262160:QUJ262260 REF262160:REF262260 ROB262160:ROB262260 RXX262160:RXX262260 SHT262160:SHT262260 SRP262160:SRP262260 TBL262160:TBL262260 TLH262160:TLH262260 TVD262160:TVD262260 UEZ262160:UEZ262260 UOV262160:UOV262260 UYR262160:UYR262260 VIN262160:VIN262260 VSJ262160:VSJ262260 WCF262160:WCF262260 WMB262160:WMB262260 WVX262160:WVX262260 P327696:P327796 JL327696:JL327796 TH327696:TH327796 ADD327696:ADD327796 AMZ327696:AMZ327796 AWV327696:AWV327796 BGR327696:BGR327796 BQN327696:BQN327796 CAJ327696:CAJ327796 CKF327696:CKF327796 CUB327696:CUB327796 DDX327696:DDX327796 DNT327696:DNT327796 DXP327696:DXP327796 EHL327696:EHL327796 ERH327696:ERH327796 FBD327696:FBD327796 FKZ327696:FKZ327796 FUV327696:FUV327796 GER327696:GER327796 GON327696:GON327796 GYJ327696:GYJ327796 HIF327696:HIF327796 HSB327696:HSB327796 IBX327696:IBX327796 ILT327696:ILT327796 IVP327696:IVP327796 JFL327696:JFL327796 JPH327696:JPH327796 JZD327696:JZD327796 KIZ327696:KIZ327796 KSV327696:KSV327796 LCR327696:LCR327796 LMN327696:LMN327796 LWJ327696:LWJ327796 MGF327696:MGF327796 MQB327696:MQB327796 MZX327696:MZX327796 NJT327696:NJT327796 NTP327696:NTP327796 ODL327696:ODL327796 ONH327696:ONH327796 OXD327696:OXD327796 PGZ327696:PGZ327796 PQV327696:PQV327796 QAR327696:QAR327796 QKN327696:QKN327796 QUJ327696:QUJ327796 REF327696:REF327796 ROB327696:ROB327796 RXX327696:RXX327796 SHT327696:SHT327796 SRP327696:SRP327796 TBL327696:TBL327796 TLH327696:TLH327796 TVD327696:TVD327796 UEZ327696:UEZ327796 UOV327696:UOV327796 UYR327696:UYR327796 VIN327696:VIN327796 VSJ327696:VSJ327796 WCF327696:WCF327796 WMB327696:WMB327796 WVX327696:WVX327796 P393232:P393332 JL393232:JL393332 TH393232:TH393332 ADD393232:ADD393332 AMZ393232:AMZ393332 AWV393232:AWV393332 BGR393232:BGR393332 BQN393232:BQN393332 CAJ393232:CAJ393332 CKF393232:CKF393332 CUB393232:CUB393332 DDX393232:DDX393332 DNT393232:DNT393332 DXP393232:DXP393332 EHL393232:EHL393332 ERH393232:ERH393332 FBD393232:FBD393332 FKZ393232:FKZ393332 FUV393232:FUV393332 GER393232:GER393332 GON393232:GON393332 GYJ393232:GYJ393332 HIF393232:HIF393332 HSB393232:HSB393332 IBX393232:IBX393332 ILT393232:ILT393332 IVP393232:IVP393332 JFL393232:JFL393332 JPH393232:JPH393332 JZD393232:JZD393332 KIZ393232:KIZ393332 KSV393232:KSV393332 LCR393232:LCR393332 LMN393232:LMN393332 LWJ393232:LWJ393332 MGF393232:MGF393332 MQB393232:MQB393332 MZX393232:MZX393332 NJT393232:NJT393332 NTP393232:NTP393332 ODL393232:ODL393332 ONH393232:ONH393332 OXD393232:OXD393332 PGZ393232:PGZ393332 PQV393232:PQV393332 QAR393232:QAR393332 QKN393232:QKN393332 QUJ393232:QUJ393332 REF393232:REF393332 ROB393232:ROB393332 RXX393232:RXX393332 SHT393232:SHT393332 SRP393232:SRP393332 TBL393232:TBL393332 TLH393232:TLH393332 TVD393232:TVD393332 UEZ393232:UEZ393332 UOV393232:UOV393332 UYR393232:UYR393332 VIN393232:VIN393332 VSJ393232:VSJ393332 WCF393232:WCF393332 WMB393232:WMB393332 WVX393232:WVX393332 P458768:P458868 JL458768:JL458868 TH458768:TH458868 ADD458768:ADD458868 AMZ458768:AMZ458868 AWV458768:AWV458868 BGR458768:BGR458868 BQN458768:BQN458868 CAJ458768:CAJ458868 CKF458768:CKF458868 CUB458768:CUB458868 DDX458768:DDX458868 DNT458768:DNT458868 DXP458768:DXP458868 EHL458768:EHL458868 ERH458768:ERH458868 FBD458768:FBD458868 FKZ458768:FKZ458868 FUV458768:FUV458868 GER458768:GER458868 GON458768:GON458868 GYJ458768:GYJ458868 HIF458768:HIF458868 HSB458768:HSB458868 IBX458768:IBX458868 ILT458768:ILT458868 IVP458768:IVP458868 JFL458768:JFL458868 JPH458768:JPH458868 JZD458768:JZD458868 KIZ458768:KIZ458868 KSV458768:KSV458868 LCR458768:LCR458868 LMN458768:LMN458868 LWJ458768:LWJ458868 MGF458768:MGF458868 MQB458768:MQB458868 MZX458768:MZX458868 NJT458768:NJT458868 NTP458768:NTP458868 ODL458768:ODL458868 ONH458768:ONH458868 OXD458768:OXD458868 PGZ458768:PGZ458868 PQV458768:PQV458868 QAR458768:QAR458868 QKN458768:QKN458868 QUJ458768:QUJ458868 REF458768:REF458868 ROB458768:ROB458868 RXX458768:RXX458868 SHT458768:SHT458868 SRP458768:SRP458868 TBL458768:TBL458868 TLH458768:TLH458868 TVD458768:TVD458868 UEZ458768:UEZ458868 UOV458768:UOV458868 UYR458768:UYR458868 VIN458768:VIN458868 VSJ458768:VSJ458868 WCF458768:WCF458868 WMB458768:WMB458868 WVX458768:WVX458868 P524304:P524404 JL524304:JL524404 TH524304:TH524404 ADD524304:ADD524404 AMZ524304:AMZ524404 AWV524304:AWV524404 BGR524304:BGR524404 BQN524304:BQN524404 CAJ524304:CAJ524404 CKF524304:CKF524404 CUB524304:CUB524404 DDX524304:DDX524404 DNT524304:DNT524404 DXP524304:DXP524404 EHL524304:EHL524404 ERH524304:ERH524404 FBD524304:FBD524404 FKZ524304:FKZ524404 FUV524304:FUV524404 GER524304:GER524404 GON524304:GON524404 GYJ524304:GYJ524404 HIF524304:HIF524404 HSB524304:HSB524404 IBX524304:IBX524404 ILT524304:ILT524404 IVP524304:IVP524404 JFL524304:JFL524404 JPH524304:JPH524404 JZD524304:JZD524404 KIZ524304:KIZ524404 KSV524304:KSV524404 LCR524304:LCR524404 LMN524304:LMN524404 LWJ524304:LWJ524404 MGF524304:MGF524404 MQB524304:MQB524404 MZX524304:MZX524404 NJT524304:NJT524404 NTP524304:NTP524404 ODL524304:ODL524404 ONH524304:ONH524404 OXD524304:OXD524404 PGZ524304:PGZ524404 PQV524304:PQV524404 QAR524304:QAR524404 QKN524304:QKN524404 QUJ524304:QUJ524404 REF524304:REF524404 ROB524304:ROB524404 RXX524304:RXX524404 SHT524304:SHT524404 SRP524304:SRP524404 TBL524304:TBL524404 TLH524304:TLH524404 TVD524304:TVD524404 UEZ524304:UEZ524404 UOV524304:UOV524404 UYR524304:UYR524404 VIN524304:VIN524404 VSJ524304:VSJ524404 WCF524304:WCF524404 WMB524304:WMB524404 WVX524304:WVX524404 P589840:P589940 JL589840:JL589940 TH589840:TH589940 ADD589840:ADD589940 AMZ589840:AMZ589940 AWV589840:AWV589940 BGR589840:BGR589940 BQN589840:BQN589940 CAJ589840:CAJ589940 CKF589840:CKF589940 CUB589840:CUB589940 DDX589840:DDX589940 DNT589840:DNT589940 DXP589840:DXP589940 EHL589840:EHL589940 ERH589840:ERH589940 FBD589840:FBD589940 FKZ589840:FKZ589940 FUV589840:FUV589940 GER589840:GER589940 GON589840:GON589940 GYJ589840:GYJ589940 HIF589840:HIF589940 HSB589840:HSB589940 IBX589840:IBX589940 ILT589840:ILT589940 IVP589840:IVP589940 JFL589840:JFL589940 JPH589840:JPH589940 JZD589840:JZD589940 KIZ589840:KIZ589940 KSV589840:KSV589940 LCR589840:LCR589940 LMN589840:LMN589940 LWJ589840:LWJ589940 MGF589840:MGF589940 MQB589840:MQB589940 MZX589840:MZX589940 NJT589840:NJT589940 NTP589840:NTP589940 ODL589840:ODL589940 ONH589840:ONH589940 OXD589840:OXD589940 PGZ589840:PGZ589940 PQV589840:PQV589940 QAR589840:QAR589940 QKN589840:QKN589940 QUJ589840:QUJ589940 REF589840:REF589940 ROB589840:ROB589940 RXX589840:RXX589940 SHT589840:SHT589940 SRP589840:SRP589940 TBL589840:TBL589940 TLH589840:TLH589940 TVD589840:TVD589940 UEZ589840:UEZ589940 UOV589840:UOV589940 UYR589840:UYR589940 VIN589840:VIN589940 VSJ589840:VSJ589940 WCF589840:WCF589940 WMB589840:WMB589940 WVX589840:WVX589940 P655376:P655476 JL655376:JL655476 TH655376:TH655476 ADD655376:ADD655476 AMZ655376:AMZ655476 AWV655376:AWV655476 BGR655376:BGR655476 BQN655376:BQN655476 CAJ655376:CAJ655476 CKF655376:CKF655476 CUB655376:CUB655476 DDX655376:DDX655476 DNT655376:DNT655476 DXP655376:DXP655476 EHL655376:EHL655476 ERH655376:ERH655476 FBD655376:FBD655476 FKZ655376:FKZ655476 FUV655376:FUV655476 GER655376:GER655476 GON655376:GON655476 GYJ655376:GYJ655476 HIF655376:HIF655476 HSB655376:HSB655476 IBX655376:IBX655476 ILT655376:ILT655476 IVP655376:IVP655476 JFL655376:JFL655476 JPH655376:JPH655476 JZD655376:JZD655476 KIZ655376:KIZ655476 KSV655376:KSV655476 LCR655376:LCR655476 LMN655376:LMN655476 LWJ655376:LWJ655476 MGF655376:MGF655476 MQB655376:MQB655476 MZX655376:MZX655476 NJT655376:NJT655476 NTP655376:NTP655476 ODL655376:ODL655476 ONH655376:ONH655476 OXD655376:OXD655476 PGZ655376:PGZ655476 PQV655376:PQV655476 QAR655376:QAR655476 QKN655376:QKN655476 QUJ655376:QUJ655476 REF655376:REF655476 ROB655376:ROB655476 RXX655376:RXX655476 SHT655376:SHT655476 SRP655376:SRP655476 TBL655376:TBL655476 TLH655376:TLH655476 TVD655376:TVD655476 UEZ655376:UEZ655476 UOV655376:UOV655476 UYR655376:UYR655476 VIN655376:VIN655476 VSJ655376:VSJ655476 WCF655376:WCF655476 WMB655376:WMB655476 WVX655376:WVX655476 P720912:P721012 JL720912:JL721012 TH720912:TH721012 ADD720912:ADD721012 AMZ720912:AMZ721012 AWV720912:AWV721012 BGR720912:BGR721012 BQN720912:BQN721012 CAJ720912:CAJ721012 CKF720912:CKF721012 CUB720912:CUB721012 DDX720912:DDX721012 DNT720912:DNT721012 DXP720912:DXP721012 EHL720912:EHL721012 ERH720912:ERH721012 FBD720912:FBD721012 FKZ720912:FKZ721012 FUV720912:FUV721012 GER720912:GER721012 GON720912:GON721012 GYJ720912:GYJ721012 HIF720912:HIF721012 HSB720912:HSB721012 IBX720912:IBX721012 ILT720912:ILT721012 IVP720912:IVP721012 JFL720912:JFL721012 JPH720912:JPH721012 JZD720912:JZD721012 KIZ720912:KIZ721012 KSV720912:KSV721012 LCR720912:LCR721012 LMN720912:LMN721012 LWJ720912:LWJ721012 MGF720912:MGF721012 MQB720912:MQB721012 MZX720912:MZX721012 NJT720912:NJT721012 NTP720912:NTP721012 ODL720912:ODL721012 ONH720912:ONH721012 OXD720912:OXD721012 PGZ720912:PGZ721012 PQV720912:PQV721012 QAR720912:QAR721012 QKN720912:QKN721012 QUJ720912:QUJ721012 REF720912:REF721012 ROB720912:ROB721012 RXX720912:RXX721012 SHT720912:SHT721012 SRP720912:SRP721012 TBL720912:TBL721012 TLH720912:TLH721012 TVD720912:TVD721012 UEZ720912:UEZ721012 UOV720912:UOV721012 UYR720912:UYR721012 VIN720912:VIN721012 VSJ720912:VSJ721012 WCF720912:WCF721012 WMB720912:WMB721012 WVX720912:WVX721012 P786448:P786548 JL786448:JL786548 TH786448:TH786548 ADD786448:ADD786548 AMZ786448:AMZ786548 AWV786448:AWV786548 BGR786448:BGR786548 BQN786448:BQN786548 CAJ786448:CAJ786548 CKF786448:CKF786548 CUB786448:CUB786548 DDX786448:DDX786548 DNT786448:DNT786548 DXP786448:DXP786548 EHL786448:EHL786548 ERH786448:ERH786548 FBD786448:FBD786548 FKZ786448:FKZ786548 FUV786448:FUV786548 GER786448:GER786548 GON786448:GON786548 GYJ786448:GYJ786548 HIF786448:HIF786548 HSB786448:HSB786548 IBX786448:IBX786548 ILT786448:ILT786548 IVP786448:IVP786548 JFL786448:JFL786548 JPH786448:JPH786548 JZD786448:JZD786548 KIZ786448:KIZ786548 KSV786448:KSV786548 LCR786448:LCR786548 LMN786448:LMN786548 LWJ786448:LWJ786548 MGF786448:MGF786548 MQB786448:MQB786548 MZX786448:MZX786548 NJT786448:NJT786548 NTP786448:NTP786548 ODL786448:ODL786548 ONH786448:ONH786548 OXD786448:OXD786548 PGZ786448:PGZ786548 PQV786448:PQV786548 QAR786448:QAR786548 QKN786448:QKN786548 QUJ786448:QUJ786548 REF786448:REF786548 ROB786448:ROB786548 RXX786448:RXX786548 SHT786448:SHT786548 SRP786448:SRP786548 TBL786448:TBL786548 TLH786448:TLH786548 TVD786448:TVD786548 UEZ786448:UEZ786548 UOV786448:UOV786548 UYR786448:UYR786548 VIN786448:VIN786548 VSJ786448:VSJ786548 WCF786448:WCF786548 WMB786448:WMB786548 WVX786448:WVX786548 P851984:P852084 JL851984:JL852084 TH851984:TH852084 ADD851984:ADD852084 AMZ851984:AMZ852084 AWV851984:AWV852084 BGR851984:BGR852084 BQN851984:BQN852084 CAJ851984:CAJ852084 CKF851984:CKF852084 CUB851984:CUB852084 DDX851984:DDX852084 DNT851984:DNT852084 DXP851984:DXP852084 EHL851984:EHL852084 ERH851984:ERH852084 FBD851984:FBD852084 FKZ851984:FKZ852084 FUV851984:FUV852084 GER851984:GER852084 GON851984:GON852084 GYJ851984:GYJ852084 HIF851984:HIF852084 HSB851984:HSB852084 IBX851984:IBX852084 ILT851984:ILT852084 IVP851984:IVP852084 JFL851984:JFL852084 JPH851984:JPH852084 JZD851984:JZD852084 KIZ851984:KIZ852084 KSV851984:KSV852084 LCR851984:LCR852084 LMN851984:LMN852084 LWJ851984:LWJ852084 MGF851984:MGF852084 MQB851984:MQB852084 MZX851984:MZX852084 NJT851984:NJT852084 NTP851984:NTP852084 ODL851984:ODL852084 ONH851984:ONH852084 OXD851984:OXD852084 PGZ851984:PGZ852084 PQV851984:PQV852084 QAR851984:QAR852084 QKN851984:QKN852084 QUJ851984:QUJ852084 REF851984:REF852084 ROB851984:ROB852084 RXX851984:RXX852084 SHT851984:SHT852084 SRP851984:SRP852084 TBL851984:TBL852084 TLH851984:TLH852084 TVD851984:TVD852084 UEZ851984:UEZ852084 UOV851984:UOV852084 UYR851984:UYR852084 VIN851984:VIN852084 VSJ851984:VSJ852084 WCF851984:WCF852084 WMB851984:WMB852084 WVX851984:WVX852084 P917520:P917620 JL917520:JL917620 TH917520:TH917620 ADD917520:ADD917620 AMZ917520:AMZ917620 AWV917520:AWV917620 BGR917520:BGR917620 BQN917520:BQN917620 CAJ917520:CAJ917620 CKF917520:CKF917620 CUB917520:CUB917620 DDX917520:DDX917620 DNT917520:DNT917620 DXP917520:DXP917620 EHL917520:EHL917620 ERH917520:ERH917620 FBD917520:FBD917620 FKZ917520:FKZ917620 FUV917520:FUV917620 GER917520:GER917620 GON917520:GON917620 GYJ917520:GYJ917620 HIF917520:HIF917620 HSB917520:HSB917620 IBX917520:IBX917620 ILT917520:ILT917620 IVP917520:IVP917620 JFL917520:JFL917620 JPH917520:JPH917620 JZD917520:JZD917620 KIZ917520:KIZ917620 KSV917520:KSV917620 LCR917520:LCR917620 LMN917520:LMN917620 LWJ917520:LWJ917620 MGF917520:MGF917620 MQB917520:MQB917620 MZX917520:MZX917620 NJT917520:NJT917620 NTP917520:NTP917620 ODL917520:ODL917620 ONH917520:ONH917620 OXD917520:OXD917620 PGZ917520:PGZ917620 PQV917520:PQV917620 QAR917520:QAR917620 QKN917520:QKN917620 QUJ917520:QUJ917620 REF917520:REF917620 ROB917520:ROB917620 RXX917520:RXX917620 SHT917520:SHT917620 SRP917520:SRP917620 TBL917520:TBL917620 TLH917520:TLH917620 TVD917520:TVD917620 UEZ917520:UEZ917620 UOV917520:UOV917620 UYR917520:UYR917620 VIN917520:VIN917620 VSJ917520:VSJ917620 WCF917520:WCF917620 WMB917520:WMB917620 WVX917520:WVX917620 P983056:P983156 JL983056:JL983156 TH983056:TH983156 ADD983056:ADD983156 AMZ983056:AMZ983156 AWV983056:AWV983156 BGR983056:BGR983156 BQN983056:BQN983156 CAJ983056:CAJ983156 CKF983056:CKF983156 CUB983056:CUB983156 DDX983056:DDX983156 DNT983056:DNT983156 DXP983056:DXP983156 EHL983056:EHL983156 ERH983056:ERH983156 FBD983056:FBD983156 FKZ983056:FKZ983156 FUV983056:FUV983156 GER983056:GER983156 GON983056:GON983156 GYJ983056:GYJ983156 HIF983056:HIF983156 HSB983056:HSB983156 IBX983056:IBX983156 ILT983056:ILT983156 IVP983056:IVP983156 JFL983056:JFL983156 JPH983056:JPH983156 JZD983056:JZD983156 KIZ983056:KIZ983156 KSV983056:KSV983156 LCR983056:LCR983156 LMN983056:LMN983156 LWJ983056:LWJ983156 MGF983056:MGF983156 MQB983056:MQB983156 MZX983056:MZX983156 NJT983056:NJT983156 NTP983056:NTP983156 ODL983056:ODL983156 ONH983056:ONH983156 OXD983056:OXD983156 PGZ983056:PGZ983156 PQV983056:PQV983156 QAR983056:QAR983156 QKN983056:QKN983156 QUJ983056:QUJ983156 REF983056:REF983156 ROB983056:ROB983156 RXX983056:RXX983156 SHT983056:SHT983156 SRP983056:SRP983156 TBL983056:TBL983156 TLH983056:TLH983156 TVD983056:TVD983156 UEZ983056:UEZ983156 UOV983056:UOV983156 UYR983056:UYR983156 VIN983056:VIN983156 VSJ983056:VSJ983156 WCF983056:WCF983156 WVX12:WVX65 WMB12:WMB65 WCF12:WCF65 VSJ12:VSJ65 VIN12:VIN65 UYR12:UYR65 UOV12:UOV65 UEZ12:UEZ65 TVD12:TVD65 TLH12:TLH65 TBL12:TBL65 SRP12:SRP65 SHT12:SHT65 RXX12:RXX65 ROB12:ROB65 REF12:REF65 QUJ12:QUJ65 QKN12:QKN65 QAR12:QAR65 PQV12:PQV65 PGZ12:PGZ65 OXD12:OXD65 ONH12:ONH65 ODL12:ODL65 NTP12:NTP65 NJT12:NJT65 MZX12:MZX65 MQB12:MQB65 MGF12:MGF65 LWJ12:LWJ65 LMN12:LMN65 LCR12:LCR65 KSV12:KSV65 KIZ12:KIZ65 JZD12:JZD65 JPH12:JPH65 JFL12:JFL65 IVP12:IVP65 ILT12:ILT65 IBX12:IBX65 HSB12:HSB65 HIF12:HIF65 GYJ12:GYJ65 GON12:GON65 GER12:GER65 FUV12:FUV65 FKZ12:FKZ65 FBD12:FBD65 ERH12:ERH65 EHL12:EHL65 DXP12:DXP65 DNT12:DNT65 DDX12:DDX65 CUB12:CUB65 CKF12:CKF65 CAJ12:CAJ65 BQN12:BQN65 BGR12:BGR65 AWV12:AWV65 AMZ12:AMZ65 ADD12:ADD65 TH12:TH65 JL12:JL65 JL67:JL116" xr:uid="{C7612F1D-E43F-446C-BEEF-DB2937DBEC8F}"/>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6:O131087 JB65550:JK65551 SX65550:TG65551 ACT65550:ADC65551 AMP65550:AMY65551 AWL65550:AWU65551 BGH65550:BGQ65551 BQD65550:BQM65551 BZZ65550:CAI65551 CJV65550:CKE65551 CTR65550:CUA65551 DDN65550:DDW65551 DNJ65550:DNS65551 DXF65550:DXO65551 EHB65550:EHK65551 EQX65550:ERG65551 FAT65550:FBC65551 FKP65550:FKY65551 FUL65550:FUU65551 GEH65550:GEQ65551 GOD65550:GOM65551 GXZ65550:GYI65551 HHV65550:HIE65551 HRR65550:HSA65551 IBN65550:IBW65551 ILJ65550:ILS65551 IVF65550:IVO65551 JFB65550:JFK65551 JOX65550:JPG65551 JYT65550:JZC65551 KIP65550:KIY65551 KSL65550:KSU65551 LCH65550:LCQ65551 LMD65550:LMM65551 LVZ65550:LWI65551 MFV65550:MGE65551 MPR65550:MQA65551 MZN65550:MZW65551 NJJ65550:NJS65551 NTF65550:NTO65551 ODB65550:ODK65551 OMX65550:ONG65551 OWT65550:OXC65551 PGP65550:PGY65551 PQL65550:PQU65551 QAH65550:QAQ65551 QKD65550:QKM65551 QTZ65550:QUI65551 RDV65550:REE65551 RNR65550:ROA65551 RXN65550:RXW65551 SHJ65550:SHS65551 SRF65550:SRO65551 TBB65550:TBK65551 TKX65550:TLG65551 TUT65550:TVC65551 UEP65550:UEY65551 UOL65550:UOU65551 UYH65550:UYQ65551 VID65550:VIM65551 VRZ65550:VSI65551 WBV65550:WCE65551 WLR65550:WMA65551 WVN65550:WVW65551 JB131086:JK131087 SX131086:TG131087 ACT131086:ADC131087 AMP131086:AMY131087 AWL131086:AWU131087 BGH131086:BGQ131087 BQD131086:BQM131087 BZZ131086:CAI131087 CJV131086:CKE131087 CTR131086:CUA131087 DDN131086:DDW131087 DNJ131086:DNS131087 DXF131086:DXO131087 EHB131086:EHK131087 EQX131086:ERG131087 FAT131086:FBC131087 FKP131086:FKY131087 FUL131086:FUU131087 GEH131086:GEQ131087 GOD131086:GOM131087 GXZ131086:GYI131087 HHV131086:HIE131087 HRR131086:HSA131087 IBN131086:IBW131087 ILJ131086:ILS131087 IVF131086:IVO131087 JFB131086:JFK131087 JOX131086:JPG131087 JYT131086:JZC131087 KIP131086:KIY131087 KSL131086:KSU131087 LCH131086:LCQ131087 LMD131086:LMM131087 LVZ131086:LWI131087 MFV131086:MGE131087 MPR131086:MQA131087 MZN131086:MZW131087 NJJ131086:NJS131087 NTF131086:NTO131087 ODB131086:ODK131087 OMX131086:ONG131087 OWT131086:OXC131087 PGP131086:PGY131087 PQL131086:PQU131087 QAH131086:QAQ131087 QKD131086:QKM131087 QTZ131086:QUI131087 RDV131086:REE131087 RNR131086:ROA131087 RXN131086:RXW131087 SHJ131086:SHS131087 SRF131086:SRO131087 TBB131086:TBK131087 TKX131086:TLG131087 TUT131086:TVC131087 UEP131086:UEY131087 UOL131086:UOU131087 UYH131086:UYQ131087 VID131086:VIM131087 VRZ131086:VSI131087 WBV131086:WCE131087 WLR131086:WMA131087 WVN131086:WVW131087 JB196622:JK196623 SX196622:TG196623 ACT196622:ADC196623 AMP196622:AMY196623 AWL196622:AWU196623 BGH196622:BGQ196623 BQD196622:BQM196623 BZZ196622:CAI196623 CJV196622:CKE196623 CTR196622:CUA196623 DDN196622:DDW196623 DNJ196622:DNS196623 DXF196622:DXO196623 EHB196622:EHK196623 EQX196622:ERG196623 FAT196622:FBC196623 FKP196622:FKY196623 FUL196622:FUU196623 GEH196622:GEQ196623 GOD196622:GOM196623 GXZ196622:GYI196623 HHV196622:HIE196623 HRR196622:HSA196623 IBN196622:IBW196623 ILJ196622:ILS196623 IVF196622:IVO196623 JFB196622:JFK196623 JOX196622:JPG196623 JYT196622:JZC196623 KIP196622:KIY196623 KSL196622:KSU196623 LCH196622:LCQ196623 LMD196622:LMM196623 LVZ196622:LWI196623 MFV196622:MGE196623 MPR196622:MQA196623 MZN196622:MZW196623 NJJ196622:NJS196623 NTF196622:NTO196623 ODB196622:ODK196623 OMX196622:ONG196623 OWT196622:OXC196623 PGP196622:PGY196623 PQL196622:PQU196623 QAH196622:QAQ196623 QKD196622:QKM196623 QTZ196622:QUI196623 RDV196622:REE196623 RNR196622:ROA196623 RXN196622:RXW196623 SHJ196622:SHS196623 SRF196622:SRO196623 TBB196622:TBK196623 TKX196622:TLG196623 TUT196622:TVC196623 UEP196622:UEY196623 UOL196622:UOU196623 UYH196622:UYQ196623 VID196622:VIM196623 VRZ196622:VSI196623 WBV196622:WCE196623 WLR196622:WMA196623 WVN196622:WVW196623 JB262158:JK262159 SX262158:TG262159 ACT262158:ADC262159 AMP262158:AMY262159 AWL262158:AWU262159 BGH262158:BGQ262159 BQD262158:BQM262159 BZZ262158:CAI262159 CJV262158:CKE262159 CTR262158:CUA262159 DDN262158:DDW262159 DNJ262158:DNS262159 DXF262158:DXO262159 EHB262158:EHK262159 EQX262158:ERG262159 FAT262158:FBC262159 FKP262158:FKY262159 FUL262158:FUU262159 GEH262158:GEQ262159 GOD262158:GOM262159 GXZ262158:GYI262159 HHV262158:HIE262159 HRR262158:HSA262159 IBN262158:IBW262159 ILJ262158:ILS262159 IVF262158:IVO262159 JFB262158:JFK262159 JOX262158:JPG262159 JYT262158:JZC262159 KIP262158:KIY262159 KSL262158:KSU262159 LCH262158:LCQ262159 LMD262158:LMM262159 LVZ262158:LWI262159 MFV262158:MGE262159 MPR262158:MQA262159 MZN262158:MZW262159 NJJ262158:NJS262159 NTF262158:NTO262159 ODB262158:ODK262159 OMX262158:ONG262159 OWT262158:OXC262159 PGP262158:PGY262159 PQL262158:PQU262159 QAH262158:QAQ262159 QKD262158:QKM262159 QTZ262158:QUI262159 RDV262158:REE262159 RNR262158:ROA262159 RXN262158:RXW262159 SHJ262158:SHS262159 SRF262158:SRO262159 TBB262158:TBK262159 TKX262158:TLG262159 TUT262158:TVC262159 UEP262158:UEY262159 UOL262158:UOU262159 UYH262158:UYQ262159 VID262158:VIM262159 VRZ262158:VSI262159 WBV262158:WCE262159 WLR262158:WMA262159 WVN262158:WVW262159 JB327694:JK327695 SX327694:TG327695 ACT327694:ADC327695 AMP327694:AMY327695 AWL327694:AWU327695 BGH327694:BGQ327695 BQD327694:BQM327695 BZZ327694:CAI327695 CJV327694:CKE327695 CTR327694:CUA327695 DDN327694:DDW327695 DNJ327694:DNS327695 DXF327694:DXO327695 EHB327694:EHK327695 EQX327694:ERG327695 FAT327694:FBC327695 FKP327694:FKY327695 FUL327694:FUU327695 GEH327694:GEQ327695 GOD327694:GOM327695 GXZ327694:GYI327695 HHV327694:HIE327695 HRR327694:HSA327695 IBN327694:IBW327695 ILJ327694:ILS327695 IVF327694:IVO327695 JFB327694:JFK327695 JOX327694:JPG327695 JYT327694:JZC327695 KIP327694:KIY327695 KSL327694:KSU327695 LCH327694:LCQ327695 LMD327694:LMM327695 LVZ327694:LWI327695 MFV327694:MGE327695 MPR327694:MQA327695 MZN327694:MZW327695 NJJ327694:NJS327695 NTF327694:NTO327695 ODB327694:ODK327695 OMX327694:ONG327695 OWT327694:OXC327695 PGP327694:PGY327695 PQL327694:PQU327695 QAH327694:QAQ327695 QKD327694:QKM327695 QTZ327694:QUI327695 RDV327694:REE327695 RNR327694:ROA327695 RXN327694:RXW327695 SHJ327694:SHS327695 SRF327694:SRO327695 TBB327694:TBK327695 TKX327694:TLG327695 TUT327694:TVC327695 UEP327694:UEY327695 UOL327694:UOU327695 UYH327694:UYQ327695 VID327694:VIM327695 VRZ327694:VSI327695 WBV327694:WCE327695 WLR327694:WMA327695 WVN327694:WVW327695 JB393230:JK393231 SX393230:TG393231 ACT393230:ADC393231 AMP393230:AMY393231 AWL393230:AWU393231 BGH393230:BGQ393231 BQD393230:BQM393231 BZZ393230:CAI393231 CJV393230:CKE393231 CTR393230:CUA393231 DDN393230:DDW393231 DNJ393230:DNS393231 DXF393230:DXO393231 EHB393230:EHK393231 EQX393230:ERG393231 FAT393230:FBC393231 FKP393230:FKY393231 FUL393230:FUU393231 GEH393230:GEQ393231 GOD393230:GOM393231 GXZ393230:GYI393231 HHV393230:HIE393231 HRR393230:HSA393231 IBN393230:IBW393231 ILJ393230:ILS393231 IVF393230:IVO393231 JFB393230:JFK393231 JOX393230:JPG393231 JYT393230:JZC393231 KIP393230:KIY393231 KSL393230:KSU393231 LCH393230:LCQ393231 LMD393230:LMM393231 LVZ393230:LWI393231 MFV393230:MGE393231 MPR393230:MQA393231 MZN393230:MZW393231 NJJ393230:NJS393231 NTF393230:NTO393231 ODB393230:ODK393231 OMX393230:ONG393231 OWT393230:OXC393231 PGP393230:PGY393231 PQL393230:PQU393231 QAH393230:QAQ393231 QKD393230:QKM393231 QTZ393230:QUI393231 RDV393230:REE393231 RNR393230:ROA393231 RXN393230:RXW393231 SHJ393230:SHS393231 SRF393230:SRO393231 TBB393230:TBK393231 TKX393230:TLG393231 TUT393230:TVC393231 UEP393230:UEY393231 UOL393230:UOU393231 UYH393230:UYQ393231 VID393230:VIM393231 VRZ393230:VSI393231 WBV393230:WCE393231 WLR393230:WMA393231 WVN393230:WVW393231 JB458766:JK458767 SX458766:TG458767 ACT458766:ADC458767 AMP458766:AMY458767 AWL458766:AWU458767 BGH458766:BGQ458767 BQD458766:BQM458767 BZZ458766:CAI458767 CJV458766:CKE458767 CTR458766:CUA458767 DDN458766:DDW458767 DNJ458766:DNS458767 DXF458766:DXO458767 EHB458766:EHK458767 EQX458766:ERG458767 FAT458766:FBC458767 FKP458766:FKY458767 FUL458766:FUU458767 GEH458766:GEQ458767 GOD458766:GOM458767 GXZ458766:GYI458767 HHV458766:HIE458767 HRR458766:HSA458767 IBN458766:IBW458767 ILJ458766:ILS458767 IVF458766:IVO458767 JFB458766:JFK458767 JOX458766:JPG458767 JYT458766:JZC458767 KIP458766:KIY458767 KSL458766:KSU458767 LCH458766:LCQ458767 LMD458766:LMM458767 LVZ458766:LWI458767 MFV458766:MGE458767 MPR458766:MQA458767 MZN458766:MZW458767 NJJ458766:NJS458767 NTF458766:NTO458767 ODB458766:ODK458767 OMX458766:ONG458767 OWT458766:OXC458767 PGP458766:PGY458767 PQL458766:PQU458767 QAH458766:QAQ458767 QKD458766:QKM458767 QTZ458766:QUI458767 RDV458766:REE458767 RNR458766:ROA458767 RXN458766:RXW458767 SHJ458766:SHS458767 SRF458766:SRO458767 TBB458766:TBK458767 TKX458766:TLG458767 TUT458766:TVC458767 UEP458766:UEY458767 UOL458766:UOU458767 UYH458766:UYQ458767 VID458766:VIM458767 VRZ458766:VSI458767 WBV458766:WCE458767 WLR458766:WMA458767 WVN458766:WVW458767 JB524302:JK524303 SX524302:TG524303 ACT524302:ADC524303 AMP524302:AMY524303 AWL524302:AWU524303 BGH524302:BGQ524303 BQD524302:BQM524303 BZZ524302:CAI524303 CJV524302:CKE524303 CTR524302:CUA524303 DDN524302:DDW524303 DNJ524302:DNS524303 DXF524302:DXO524303 EHB524302:EHK524303 EQX524302:ERG524303 FAT524302:FBC524303 FKP524302:FKY524303 FUL524302:FUU524303 GEH524302:GEQ524303 GOD524302:GOM524303 GXZ524302:GYI524303 HHV524302:HIE524303 HRR524302:HSA524303 IBN524302:IBW524303 ILJ524302:ILS524303 IVF524302:IVO524303 JFB524302:JFK524303 JOX524302:JPG524303 JYT524302:JZC524303 KIP524302:KIY524303 KSL524302:KSU524303 LCH524302:LCQ524303 LMD524302:LMM524303 LVZ524302:LWI524303 MFV524302:MGE524303 MPR524302:MQA524303 MZN524302:MZW524303 NJJ524302:NJS524303 NTF524302:NTO524303 ODB524302:ODK524303 OMX524302:ONG524303 OWT524302:OXC524303 PGP524302:PGY524303 PQL524302:PQU524303 QAH524302:QAQ524303 QKD524302:QKM524303 QTZ524302:QUI524303 RDV524302:REE524303 RNR524302:ROA524303 RXN524302:RXW524303 SHJ524302:SHS524303 SRF524302:SRO524303 TBB524302:TBK524303 TKX524302:TLG524303 TUT524302:TVC524303 UEP524302:UEY524303 UOL524302:UOU524303 UYH524302:UYQ524303 VID524302:VIM524303 VRZ524302:VSI524303 WBV524302:WCE524303 WLR524302:WMA524303 WVN524302:WVW524303 JB589838:JK589839 SX589838:TG589839 ACT589838:ADC589839 AMP589838:AMY589839 AWL589838:AWU589839 BGH589838:BGQ589839 BQD589838:BQM589839 BZZ589838:CAI589839 CJV589838:CKE589839 CTR589838:CUA589839 DDN589838:DDW589839 DNJ589838:DNS589839 DXF589838:DXO589839 EHB589838:EHK589839 EQX589838:ERG589839 FAT589838:FBC589839 FKP589838:FKY589839 FUL589838:FUU589839 GEH589838:GEQ589839 GOD589838:GOM589839 GXZ589838:GYI589839 HHV589838:HIE589839 HRR589838:HSA589839 IBN589838:IBW589839 ILJ589838:ILS589839 IVF589838:IVO589839 JFB589838:JFK589839 JOX589838:JPG589839 JYT589838:JZC589839 KIP589838:KIY589839 KSL589838:KSU589839 LCH589838:LCQ589839 LMD589838:LMM589839 LVZ589838:LWI589839 MFV589838:MGE589839 MPR589838:MQA589839 MZN589838:MZW589839 NJJ589838:NJS589839 NTF589838:NTO589839 ODB589838:ODK589839 OMX589838:ONG589839 OWT589838:OXC589839 PGP589838:PGY589839 PQL589838:PQU589839 QAH589838:QAQ589839 QKD589838:QKM589839 QTZ589838:QUI589839 RDV589838:REE589839 RNR589838:ROA589839 RXN589838:RXW589839 SHJ589838:SHS589839 SRF589838:SRO589839 TBB589838:TBK589839 TKX589838:TLG589839 TUT589838:TVC589839 UEP589838:UEY589839 UOL589838:UOU589839 UYH589838:UYQ589839 VID589838:VIM589839 VRZ589838:VSI589839 WBV589838:WCE589839 WLR589838:WMA589839 WVN589838:WVW589839 JB655374:JK655375 SX655374:TG655375 ACT655374:ADC655375 AMP655374:AMY655375 AWL655374:AWU655375 BGH655374:BGQ655375 BQD655374:BQM655375 BZZ655374:CAI655375 CJV655374:CKE655375 CTR655374:CUA655375 DDN655374:DDW655375 DNJ655374:DNS655375 DXF655374:DXO655375 EHB655374:EHK655375 EQX655374:ERG655375 FAT655374:FBC655375 FKP655374:FKY655375 FUL655374:FUU655375 GEH655374:GEQ655375 GOD655374:GOM655375 GXZ655374:GYI655375 HHV655374:HIE655375 HRR655374:HSA655375 IBN655374:IBW655375 ILJ655374:ILS655375 IVF655374:IVO655375 JFB655374:JFK655375 JOX655374:JPG655375 JYT655374:JZC655375 KIP655374:KIY655375 KSL655374:KSU655375 LCH655374:LCQ655375 LMD655374:LMM655375 LVZ655374:LWI655375 MFV655374:MGE655375 MPR655374:MQA655375 MZN655374:MZW655375 NJJ655374:NJS655375 NTF655374:NTO655375 ODB655374:ODK655375 OMX655374:ONG655375 OWT655374:OXC655375 PGP655374:PGY655375 PQL655374:PQU655375 QAH655374:QAQ655375 QKD655374:QKM655375 QTZ655374:QUI655375 RDV655374:REE655375 RNR655374:ROA655375 RXN655374:RXW655375 SHJ655374:SHS655375 SRF655374:SRO655375 TBB655374:TBK655375 TKX655374:TLG655375 TUT655374:TVC655375 UEP655374:UEY655375 UOL655374:UOU655375 UYH655374:UYQ655375 VID655374:VIM655375 VRZ655374:VSI655375 WBV655374:WCE655375 WLR655374:WMA655375 WVN655374:WVW655375 JB720910:JK720911 SX720910:TG720911 ACT720910:ADC720911 AMP720910:AMY720911 AWL720910:AWU720911 BGH720910:BGQ720911 BQD720910:BQM720911 BZZ720910:CAI720911 CJV720910:CKE720911 CTR720910:CUA720911 DDN720910:DDW720911 DNJ720910:DNS720911 DXF720910:DXO720911 EHB720910:EHK720911 EQX720910:ERG720911 FAT720910:FBC720911 FKP720910:FKY720911 FUL720910:FUU720911 GEH720910:GEQ720911 GOD720910:GOM720911 GXZ720910:GYI720911 HHV720910:HIE720911 HRR720910:HSA720911 IBN720910:IBW720911 ILJ720910:ILS720911 IVF720910:IVO720911 JFB720910:JFK720911 JOX720910:JPG720911 JYT720910:JZC720911 KIP720910:KIY720911 KSL720910:KSU720911 LCH720910:LCQ720911 LMD720910:LMM720911 LVZ720910:LWI720911 MFV720910:MGE720911 MPR720910:MQA720911 MZN720910:MZW720911 NJJ720910:NJS720911 NTF720910:NTO720911 ODB720910:ODK720911 OMX720910:ONG720911 OWT720910:OXC720911 PGP720910:PGY720911 PQL720910:PQU720911 QAH720910:QAQ720911 QKD720910:QKM720911 QTZ720910:QUI720911 RDV720910:REE720911 RNR720910:ROA720911 RXN720910:RXW720911 SHJ720910:SHS720911 SRF720910:SRO720911 TBB720910:TBK720911 TKX720910:TLG720911 TUT720910:TVC720911 UEP720910:UEY720911 UOL720910:UOU720911 UYH720910:UYQ720911 VID720910:VIM720911 VRZ720910:VSI720911 WBV720910:WCE720911 WLR720910:WMA720911 WVN720910:WVW720911 JB786446:JK786447 SX786446:TG786447 ACT786446:ADC786447 AMP786446:AMY786447 AWL786446:AWU786447 BGH786446:BGQ786447 BQD786446:BQM786447 BZZ786446:CAI786447 CJV786446:CKE786447 CTR786446:CUA786447 DDN786446:DDW786447 DNJ786446:DNS786447 DXF786446:DXO786447 EHB786446:EHK786447 EQX786446:ERG786447 FAT786446:FBC786447 FKP786446:FKY786447 FUL786446:FUU786447 GEH786446:GEQ786447 GOD786446:GOM786447 GXZ786446:GYI786447 HHV786446:HIE786447 HRR786446:HSA786447 IBN786446:IBW786447 ILJ786446:ILS786447 IVF786446:IVO786447 JFB786446:JFK786447 JOX786446:JPG786447 JYT786446:JZC786447 KIP786446:KIY786447 KSL786446:KSU786447 LCH786446:LCQ786447 LMD786446:LMM786447 LVZ786446:LWI786447 MFV786446:MGE786447 MPR786446:MQA786447 MZN786446:MZW786447 NJJ786446:NJS786447 NTF786446:NTO786447 ODB786446:ODK786447 OMX786446:ONG786447 OWT786446:OXC786447 PGP786446:PGY786447 PQL786446:PQU786447 QAH786446:QAQ786447 QKD786446:QKM786447 QTZ786446:QUI786447 RDV786446:REE786447 RNR786446:ROA786447 RXN786446:RXW786447 SHJ786446:SHS786447 SRF786446:SRO786447 TBB786446:TBK786447 TKX786446:TLG786447 TUT786446:TVC786447 UEP786446:UEY786447 UOL786446:UOU786447 UYH786446:UYQ786447 VID786446:VIM786447 VRZ786446:VSI786447 WBV786446:WCE786447 WLR786446:WMA786447 WVN786446:WVW786447 JB851982:JK851983 SX851982:TG851983 ACT851982:ADC851983 AMP851982:AMY851983 AWL851982:AWU851983 BGH851982:BGQ851983 BQD851982:BQM851983 BZZ851982:CAI851983 CJV851982:CKE851983 CTR851982:CUA851983 DDN851982:DDW851983 DNJ851982:DNS851983 DXF851982:DXO851983 EHB851982:EHK851983 EQX851982:ERG851983 FAT851982:FBC851983 FKP851982:FKY851983 FUL851982:FUU851983 GEH851982:GEQ851983 GOD851982:GOM851983 GXZ851982:GYI851983 HHV851982:HIE851983 HRR851982:HSA851983 IBN851982:IBW851983 ILJ851982:ILS851983 IVF851982:IVO851983 JFB851982:JFK851983 JOX851982:JPG851983 JYT851982:JZC851983 KIP851982:KIY851983 KSL851982:KSU851983 LCH851982:LCQ851983 LMD851982:LMM851983 LVZ851982:LWI851983 MFV851982:MGE851983 MPR851982:MQA851983 MZN851982:MZW851983 NJJ851982:NJS851983 NTF851982:NTO851983 ODB851982:ODK851983 OMX851982:ONG851983 OWT851982:OXC851983 PGP851982:PGY851983 PQL851982:PQU851983 QAH851982:QAQ851983 QKD851982:QKM851983 QTZ851982:QUI851983 RDV851982:REE851983 RNR851982:ROA851983 RXN851982:RXW851983 SHJ851982:SHS851983 SRF851982:SRO851983 TBB851982:TBK851983 TKX851982:TLG851983 TUT851982:TVC851983 UEP851982:UEY851983 UOL851982:UOU851983 UYH851982:UYQ851983 VID851982:VIM851983 VRZ851982:VSI851983 WBV851982:WCE851983 WLR851982:WMA851983 WVN851982:WVW851983 JB917518:JK917519 SX917518:TG917519 ACT917518:ADC917519 AMP917518:AMY917519 AWL917518:AWU917519 BGH917518:BGQ917519 BQD917518:BQM917519 BZZ917518:CAI917519 CJV917518:CKE917519 CTR917518:CUA917519 DDN917518:DDW917519 DNJ917518:DNS917519 DXF917518:DXO917519 EHB917518:EHK917519 EQX917518:ERG917519 FAT917518:FBC917519 FKP917518:FKY917519 FUL917518:FUU917519 GEH917518:GEQ917519 GOD917518:GOM917519 GXZ917518:GYI917519 HHV917518:HIE917519 HRR917518:HSA917519 IBN917518:IBW917519 ILJ917518:ILS917519 IVF917518:IVO917519 JFB917518:JFK917519 JOX917518:JPG917519 JYT917518:JZC917519 KIP917518:KIY917519 KSL917518:KSU917519 LCH917518:LCQ917519 LMD917518:LMM917519 LVZ917518:LWI917519 MFV917518:MGE917519 MPR917518:MQA917519 MZN917518:MZW917519 NJJ917518:NJS917519 NTF917518:NTO917519 ODB917518:ODK917519 OMX917518:ONG917519 OWT917518:OXC917519 PGP917518:PGY917519 PQL917518:PQU917519 QAH917518:QAQ917519 QKD917518:QKM917519 QTZ917518:QUI917519 RDV917518:REE917519 RNR917518:ROA917519 RXN917518:RXW917519 SHJ917518:SHS917519 SRF917518:SRO917519 TBB917518:TBK917519 TKX917518:TLG917519 TUT917518:TVC917519 UEP917518:UEY917519 UOL917518:UOU917519 UYH917518:UYQ917519 VID917518:VIM917519 VRZ917518:VSI917519 WBV917518:WCE917519 WLR917518:WMA917519 WVN917518:WVW917519 JB983054:JK983055 SX983054:TG983055 ACT983054:ADC983055 AMP983054:AMY983055 AWL983054:AWU983055 BGH983054:BGQ983055 BQD983054:BQM983055 BZZ983054:CAI983055 CJV983054:CKE983055 CTR983054:CUA983055 DDN983054:DDW983055 DNJ983054:DNS983055 DXF983054:DXO983055 EHB983054:EHK983055 EQX983054:ERG983055 FAT983054:FBC983055 FKP983054:FKY983055 FUL983054:FUU983055 GEH983054:GEQ983055 GOD983054:GOM983055 GXZ983054:GYI983055 HHV983054:HIE983055 HRR983054:HSA983055 IBN983054:IBW983055 ILJ983054:ILS983055 IVF983054:IVO983055 JFB983054:JFK983055 JOX983054:JPG983055 JYT983054:JZC983055 KIP983054:KIY983055 KSL983054:KSU983055 LCH983054:LCQ983055 LMD983054:LMM983055 LVZ983054:LWI983055 MFV983054:MGE983055 MPR983054:MQA983055 MZN983054:MZW983055 NJJ983054:NJS983055 NTF983054:NTO983055 ODB983054:ODK983055 OMX983054:ONG983055 OWT983054:OXC983055 PGP983054:PGY983055 PQL983054:PQU983055 QAH983054:QAQ983055 QKD983054:QKM983055 QTZ983054:QUI983055 RDV983054:REE983055 RNR983054:ROA983055 RXN983054:RXW983055 SHJ983054:SHS983055 SRF983054:SRO983055 TBB983054:TBK983055 TKX983054:TLG983055 TUT983054:TVC983055 UEP983054:UEY983055 UOL983054:UOU983055 UYH983054:UYQ983055 VID983054:VIM983055 VRZ983054:VSI983055 WBV983054:WCE983055 WLR983054:WMA983055 WVN983054:WVW983055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50:O65551 S65550:AB65551 JO65550:JX65551 TK65550:TT65551 ADG65550:ADP65551 ANC65550:ANL65551 AWY65550:AXH65551 BGU65550:BHD65551 BQQ65550:BQZ65551 CAM65550:CAV65551 CKI65550:CKR65551 CUE65550:CUN65551 DEA65550:DEJ65551 DNW65550:DOF65551 DXS65550:DYB65551 EHO65550:EHX65551 ERK65550:ERT65551 FBG65550:FBP65551 FLC65550:FLL65551 FUY65550:FVH65551 GEU65550:GFD65551 GOQ65550:GOZ65551 GYM65550:GYV65551 HII65550:HIR65551 HSE65550:HSN65551 ICA65550:ICJ65551 ILW65550:IMF65551 IVS65550:IWB65551 JFO65550:JFX65551 JPK65550:JPT65551 JZG65550:JZP65551 KJC65550:KJL65551 KSY65550:KTH65551 LCU65550:LDD65551 LMQ65550:LMZ65551 LWM65550:LWV65551 MGI65550:MGR65551 MQE65550:MQN65551 NAA65550:NAJ65551 NJW65550:NKF65551 NTS65550:NUB65551 ODO65550:ODX65551 ONK65550:ONT65551 OXG65550:OXP65551 PHC65550:PHL65551 PQY65550:PRH65551 QAU65550:QBD65551 QKQ65550:QKZ65551 QUM65550:QUV65551 REI65550:RER65551 ROE65550:RON65551 RYA65550:RYJ65551 SHW65550:SIF65551 SRS65550:SSB65551 TBO65550:TBX65551 TLK65550:TLT65551 TVG65550:TVP65551 UFC65550:UFL65551 UOY65550:UPH65551 UYU65550:UZD65551 VIQ65550:VIZ65551 VSM65550:VSV65551 WCI65550:WCR65551 WME65550:WMN65551 WWA65550:WWJ65551 S131086:AB131087 JO131086:JX131087 TK131086:TT131087 ADG131086:ADP131087 ANC131086:ANL131087 AWY131086:AXH131087 BGU131086:BHD131087 BQQ131086:BQZ131087 CAM131086:CAV131087 CKI131086:CKR131087 CUE131086:CUN131087 DEA131086:DEJ131087 DNW131086:DOF131087 DXS131086:DYB131087 EHO131086:EHX131087 ERK131086:ERT131087 FBG131086:FBP131087 FLC131086:FLL131087 FUY131086:FVH131087 GEU131086:GFD131087 GOQ131086:GOZ131087 GYM131086:GYV131087 HII131086:HIR131087 HSE131086:HSN131087 ICA131086:ICJ131087 ILW131086:IMF131087 IVS131086:IWB131087 JFO131086:JFX131087 JPK131086:JPT131087 JZG131086:JZP131087 KJC131086:KJL131087 KSY131086:KTH131087 LCU131086:LDD131087 LMQ131086:LMZ131087 LWM131086:LWV131087 MGI131086:MGR131087 MQE131086:MQN131087 NAA131086:NAJ131087 NJW131086:NKF131087 NTS131086:NUB131087 ODO131086:ODX131087 ONK131086:ONT131087 OXG131086:OXP131087 PHC131086:PHL131087 PQY131086:PRH131087 QAU131086:QBD131087 QKQ131086:QKZ131087 QUM131086:QUV131087 REI131086:RER131087 ROE131086:RON131087 RYA131086:RYJ131087 SHW131086:SIF131087 SRS131086:SSB131087 TBO131086:TBX131087 TLK131086:TLT131087 TVG131086:TVP131087 UFC131086:UFL131087 UOY131086:UPH131087 UYU131086:UZD131087 VIQ131086:VIZ131087 VSM131086:VSV131087 WCI131086:WCR131087 WME131086:WMN131087 WWA131086:WWJ131087 S196622:AB196623 JO196622:JX196623 TK196622:TT196623 ADG196622:ADP196623 ANC196622:ANL196623 AWY196622:AXH196623 BGU196622:BHD196623 BQQ196622:BQZ196623 CAM196622:CAV196623 CKI196622:CKR196623 CUE196622:CUN196623 DEA196622:DEJ196623 DNW196622:DOF196623 DXS196622:DYB196623 EHO196622:EHX196623 ERK196622:ERT196623 FBG196622:FBP196623 FLC196622:FLL196623 FUY196622:FVH196623 GEU196622:GFD196623 GOQ196622:GOZ196623 GYM196622:GYV196623 HII196622:HIR196623 HSE196622:HSN196623 ICA196622:ICJ196623 ILW196622:IMF196623 IVS196622:IWB196623 JFO196622:JFX196623 JPK196622:JPT196623 JZG196622:JZP196623 KJC196622:KJL196623 KSY196622:KTH196623 LCU196622:LDD196623 LMQ196622:LMZ196623 LWM196622:LWV196623 MGI196622:MGR196623 MQE196622:MQN196623 NAA196622:NAJ196623 NJW196622:NKF196623 NTS196622:NUB196623 ODO196622:ODX196623 ONK196622:ONT196623 OXG196622:OXP196623 PHC196622:PHL196623 PQY196622:PRH196623 QAU196622:QBD196623 QKQ196622:QKZ196623 QUM196622:QUV196623 REI196622:RER196623 ROE196622:RON196623 RYA196622:RYJ196623 SHW196622:SIF196623 SRS196622:SSB196623 TBO196622:TBX196623 TLK196622:TLT196623 TVG196622:TVP196623 UFC196622:UFL196623 UOY196622:UPH196623 UYU196622:UZD196623 VIQ196622:VIZ196623 VSM196622:VSV196623 WCI196622:WCR196623 WME196622:WMN196623 WWA196622:WWJ196623 S262158:AB262159 JO262158:JX262159 TK262158:TT262159 ADG262158:ADP262159 ANC262158:ANL262159 AWY262158:AXH262159 BGU262158:BHD262159 BQQ262158:BQZ262159 CAM262158:CAV262159 CKI262158:CKR262159 CUE262158:CUN262159 DEA262158:DEJ262159 DNW262158:DOF262159 DXS262158:DYB262159 EHO262158:EHX262159 ERK262158:ERT262159 FBG262158:FBP262159 FLC262158:FLL262159 FUY262158:FVH262159 GEU262158:GFD262159 GOQ262158:GOZ262159 GYM262158:GYV262159 HII262158:HIR262159 HSE262158:HSN262159 ICA262158:ICJ262159 ILW262158:IMF262159 IVS262158:IWB262159 JFO262158:JFX262159 JPK262158:JPT262159 JZG262158:JZP262159 KJC262158:KJL262159 KSY262158:KTH262159 LCU262158:LDD262159 LMQ262158:LMZ262159 LWM262158:LWV262159 MGI262158:MGR262159 MQE262158:MQN262159 NAA262158:NAJ262159 NJW262158:NKF262159 NTS262158:NUB262159 ODO262158:ODX262159 ONK262158:ONT262159 OXG262158:OXP262159 PHC262158:PHL262159 PQY262158:PRH262159 QAU262158:QBD262159 QKQ262158:QKZ262159 QUM262158:QUV262159 REI262158:RER262159 ROE262158:RON262159 RYA262158:RYJ262159 SHW262158:SIF262159 SRS262158:SSB262159 TBO262158:TBX262159 TLK262158:TLT262159 TVG262158:TVP262159 UFC262158:UFL262159 UOY262158:UPH262159 UYU262158:UZD262159 VIQ262158:VIZ262159 VSM262158:VSV262159 WCI262158:WCR262159 WME262158:WMN262159 WWA262158:WWJ262159 S327694:AB327695 JO327694:JX327695 TK327694:TT327695 ADG327694:ADP327695 ANC327694:ANL327695 AWY327694:AXH327695 BGU327694:BHD327695 BQQ327694:BQZ327695 CAM327694:CAV327695 CKI327694:CKR327695 CUE327694:CUN327695 DEA327694:DEJ327695 DNW327694:DOF327695 DXS327694:DYB327695 EHO327694:EHX327695 ERK327694:ERT327695 FBG327694:FBP327695 FLC327694:FLL327695 FUY327694:FVH327695 GEU327694:GFD327695 GOQ327694:GOZ327695 GYM327694:GYV327695 HII327694:HIR327695 HSE327694:HSN327695 ICA327694:ICJ327695 ILW327694:IMF327695 IVS327694:IWB327695 JFO327694:JFX327695 JPK327694:JPT327695 JZG327694:JZP327695 KJC327694:KJL327695 KSY327694:KTH327695 LCU327694:LDD327695 LMQ327694:LMZ327695 LWM327694:LWV327695 MGI327694:MGR327695 MQE327694:MQN327695 NAA327694:NAJ327695 NJW327694:NKF327695 NTS327694:NUB327695 ODO327694:ODX327695 ONK327694:ONT327695 OXG327694:OXP327695 PHC327694:PHL327695 PQY327694:PRH327695 QAU327694:QBD327695 QKQ327694:QKZ327695 QUM327694:QUV327695 REI327694:RER327695 ROE327694:RON327695 RYA327694:RYJ327695 SHW327694:SIF327695 SRS327694:SSB327695 TBO327694:TBX327695 TLK327694:TLT327695 TVG327694:TVP327695 UFC327694:UFL327695 UOY327694:UPH327695 UYU327694:UZD327695 VIQ327694:VIZ327695 VSM327694:VSV327695 WCI327694:WCR327695 WME327694:WMN327695 WWA327694:WWJ327695 S393230:AB393231 JO393230:JX393231 TK393230:TT393231 ADG393230:ADP393231 ANC393230:ANL393231 AWY393230:AXH393231 BGU393230:BHD393231 BQQ393230:BQZ393231 CAM393230:CAV393231 CKI393230:CKR393231 CUE393230:CUN393231 DEA393230:DEJ393231 DNW393230:DOF393231 DXS393230:DYB393231 EHO393230:EHX393231 ERK393230:ERT393231 FBG393230:FBP393231 FLC393230:FLL393231 FUY393230:FVH393231 GEU393230:GFD393231 GOQ393230:GOZ393231 GYM393230:GYV393231 HII393230:HIR393231 HSE393230:HSN393231 ICA393230:ICJ393231 ILW393230:IMF393231 IVS393230:IWB393231 JFO393230:JFX393231 JPK393230:JPT393231 JZG393230:JZP393231 KJC393230:KJL393231 KSY393230:KTH393231 LCU393230:LDD393231 LMQ393230:LMZ393231 LWM393230:LWV393231 MGI393230:MGR393231 MQE393230:MQN393231 NAA393230:NAJ393231 NJW393230:NKF393231 NTS393230:NUB393231 ODO393230:ODX393231 ONK393230:ONT393231 OXG393230:OXP393231 PHC393230:PHL393231 PQY393230:PRH393231 QAU393230:QBD393231 QKQ393230:QKZ393231 QUM393230:QUV393231 REI393230:RER393231 ROE393230:RON393231 RYA393230:RYJ393231 SHW393230:SIF393231 SRS393230:SSB393231 TBO393230:TBX393231 TLK393230:TLT393231 TVG393230:TVP393231 UFC393230:UFL393231 UOY393230:UPH393231 UYU393230:UZD393231 VIQ393230:VIZ393231 VSM393230:VSV393231 WCI393230:WCR393231 WME393230:WMN393231 WWA393230:WWJ393231 S458766:AB458767 JO458766:JX458767 TK458766:TT458767 ADG458766:ADP458767 ANC458766:ANL458767 AWY458766:AXH458767 BGU458766:BHD458767 BQQ458766:BQZ458767 CAM458766:CAV458767 CKI458766:CKR458767 CUE458766:CUN458767 DEA458766:DEJ458767 DNW458766:DOF458767 DXS458766:DYB458767 EHO458766:EHX458767 ERK458766:ERT458767 FBG458766:FBP458767 FLC458766:FLL458767 FUY458766:FVH458767 GEU458766:GFD458767 GOQ458766:GOZ458767 GYM458766:GYV458767 HII458766:HIR458767 HSE458766:HSN458767 ICA458766:ICJ458767 ILW458766:IMF458767 IVS458766:IWB458767 JFO458766:JFX458767 JPK458766:JPT458767 JZG458766:JZP458767 KJC458766:KJL458767 KSY458766:KTH458767 LCU458766:LDD458767 LMQ458766:LMZ458767 LWM458766:LWV458767 MGI458766:MGR458767 MQE458766:MQN458767 NAA458766:NAJ458767 NJW458766:NKF458767 NTS458766:NUB458767 ODO458766:ODX458767 ONK458766:ONT458767 OXG458766:OXP458767 PHC458766:PHL458767 PQY458766:PRH458767 QAU458766:QBD458767 QKQ458766:QKZ458767 QUM458766:QUV458767 REI458766:RER458767 ROE458766:RON458767 RYA458766:RYJ458767 SHW458766:SIF458767 SRS458766:SSB458767 TBO458766:TBX458767 TLK458766:TLT458767 TVG458766:TVP458767 UFC458766:UFL458767 UOY458766:UPH458767 UYU458766:UZD458767 VIQ458766:VIZ458767 VSM458766:VSV458767 WCI458766:WCR458767 WME458766:WMN458767 WWA458766:WWJ458767 S524302:AB524303 JO524302:JX524303 TK524302:TT524303 ADG524302:ADP524303 ANC524302:ANL524303 AWY524302:AXH524303 BGU524302:BHD524303 BQQ524302:BQZ524303 CAM524302:CAV524303 CKI524302:CKR524303 CUE524302:CUN524303 DEA524302:DEJ524303 DNW524302:DOF524303 DXS524302:DYB524303 EHO524302:EHX524303 ERK524302:ERT524303 FBG524302:FBP524303 FLC524302:FLL524303 FUY524302:FVH524303 GEU524302:GFD524303 GOQ524302:GOZ524303 GYM524302:GYV524303 HII524302:HIR524303 HSE524302:HSN524303 ICA524302:ICJ524303 ILW524302:IMF524303 IVS524302:IWB524303 JFO524302:JFX524303 JPK524302:JPT524303 JZG524302:JZP524303 KJC524302:KJL524303 KSY524302:KTH524303 LCU524302:LDD524303 LMQ524302:LMZ524303 LWM524302:LWV524303 MGI524302:MGR524303 MQE524302:MQN524303 NAA524302:NAJ524303 NJW524302:NKF524303 NTS524302:NUB524303 ODO524302:ODX524303 ONK524302:ONT524303 OXG524302:OXP524303 PHC524302:PHL524303 PQY524302:PRH524303 QAU524302:QBD524303 QKQ524302:QKZ524303 QUM524302:QUV524303 REI524302:RER524303 ROE524302:RON524303 RYA524302:RYJ524303 SHW524302:SIF524303 SRS524302:SSB524303 TBO524302:TBX524303 TLK524302:TLT524303 TVG524302:TVP524303 UFC524302:UFL524303 UOY524302:UPH524303 UYU524302:UZD524303 VIQ524302:VIZ524303 VSM524302:VSV524303 WCI524302:WCR524303 WME524302:WMN524303 WWA524302:WWJ524303 S589838:AB589839 JO589838:JX589839 TK589838:TT589839 ADG589838:ADP589839 ANC589838:ANL589839 AWY589838:AXH589839 BGU589838:BHD589839 BQQ589838:BQZ589839 CAM589838:CAV589839 CKI589838:CKR589839 CUE589838:CUN589839 DEA589838:DEJ589839 DNW589838:DOF589839 DXS589838:DYB589839 EHO589838:EHX589839 ERK589838:ERT589839 FBG589838:FBP589839 FLC589838:FLL589839 FUY589838:FVH589839 GEU589838:GFD589839 GOQ589838:GOZ589839 GYM589838:GYV589839 HII589838:HIR589839 HSE589838:HSN589839 ICA589838:ICJ589839 ILW589838:IMF589839 IVS589838:IWB589839 JFO589838:JFX589839 JPK589838:JPT589839 JZG589838:JZP589839 KJC589838:KJL589839 KSY589838:KTH589839 LCU589838:LDD589839 LMQ589838:LMZ589839 LWM589838:LWV589839 MGI589838:MGR589839 MQE589838:MQN589839 NAA589838:NAJ589839 NJW589838:NKF589839 NTS589838:NUB589839 ODO589838:ODX589839 ONK589838:ONT589839 OXG589838:OXP589839 PHC589838:PHL589839 PQY589838:PRH589839 QAU589838:QBD589839 QKQ589838:QKZ589839 QUM589838:QUV589839 REI589838:RER589839 ROE589838:RON589839 RYA589838:RYJ589839 SHW589838:SIF589839 SRS589838:SSB589839 TBO589838:TBX589839 TLK589838:TLT589839 TVG589838:TVP589839 UFC589838:UFL589839 UOY589838:UPH589839 UYU589838:UZD589839 VIQ589838:VIZ589839 VSM589838:VSV589839 WCI589838:WCR589839 WME589838:WMN589839 WWA589838:WWJ589839 S655374:AB655375 JO655374:JX655375 TK655374:TT655375 ADG655374:ADP655375 ANC655374:ANL655375 AWY655374:AXH655375 BGU655374:BHD655375 BQQ655374:BQZ655375 CAM655374:CAV655375 CKI655374:CKR655375 CUE655374:CUN655375 DEA655374:DEJ655375 DNW655374:DOF655375 DXS655374:DYB655375 EHO655374:EHX655375 ERK655374:ERT655375 FBG655374:FBP655375 FLC655374:FLL655375 FUY655374:FVH655375 GEU655374:GFD655375 GOQ655374:GOZ655375 GYM655374:GYV655375 HII655374:HIR655375 HSE655374:HSN655375 ICA655374:ICJ655375 ILW655374:IMF655375 IVS655374:IWB655375 JFO655374:JFX655375 JPK655374:JPT655375 JZG655374:JZP655375 KJC655374:KJL655375 KSY655374:KTH655375 LCU655374:LDD655375 LMQ655374:LMZ655375 LWM655374:LWV655375 MGI655374:MGR655375 MQE655374:MQN655375 NAA655374:NAJ655375 NJW655374:NKF655375 NTS655374:NUB655375 ODO655374:ODX655375 ONK655374:ONT655375 OXG655374:OXP655375 PHC655374:PHL655375 PQY655374:PRH655375 QAU655374:QBD655375 QKQ655374:QKZ655375 QUM655374:QUV655375 REI655374:RER655375 ROE655374:RON655375 RYA655374:RYJ655375 SHW655374:SIF655375 SRS655374:SSB655375 TBO655374:TBX655375 TLK655374:TLT655375 TVG655374:TVP655375 UFC655374:UFL655375 UOY655374:UPH655375 UYU655374:UZD655375 VIQ655374:VIZ655375 VSM655374:VSV655375 WCI655374:WCR655375 WME655374:WMN655375 WWA655374:WWJ655375 S720910:AB720911 JO720910:JX720911 TK720910:TT720911 ADG720910:ADP720911 ANC720910:ANL720911 AWY720910:AXH720911 BGU720910:BHD720911 BQQ720910:BQZ720911 CAM720910:CAV720911 CKI720910:CKR720911 CUE720910:CUN720911 DEA720910:DEJ720911 DNW720910:DOF720911 DXS720910:DYB720911 EHO720910:EHX720911 ERK720910:ERT720911 FBG720910:FBP720911 FLC720910:FLL720911 FUY720910:FVH720911 GEU720910:GFD720911 GOQ720910:GOZ720911 GYM720910:GYV720911 HII720910:HIR720911 HSE720910:HSN720911 ICA720910:ICJ720911 ILW720910:IMF720911 IVS720910:IWB720911 JFO720910:JFX720911 JPK720910:JPT720911 JZG720910:JZP720911 KJC720910:KJL720911 KSY720910:KTH720911 LCU720910:LDD720911 LMQ720910:LMZ720911 LWM720910:LWV720911 MGI720910:MGR720911 MQE720910:MQN720911 NAA720910:NAJ720911 NJW720910:NKF720911 NTS720910:NUB720911 ODO720910:ODX720911 ONK720910:ONT720911 OXG720910:OXP720911 PHC720910:PHL720911 PQY720910:PRH720911 QAU720910:QBD720911 QKQ720910:QKZ720911 QUM720910:QUV720911 REI720910:RER720911 ROE720910:RON720911 RYA720910:RYJ720911 SHW720910:SIF720911 SRS720910:SSB720911 TBO720910:TBX720911 TLK720910:TLT720911 TVG720910:TVP720911 UFC720910:UFL720911 UOY720910:UPH720911 UYU720910:UZD720911 VIQ720910:VIZ720911 VSM720910:VSV720911 WCI720910:WCR720911 WME720910:WMN720911 WWA720910:WWJ720911 S786446:AB786447 JO786446:JX786447 TK786446:TT786447 ADG786446:ADP786447 ANC786446:ANL786447 AWY786446:AXH786447 BGU786446:BHD786447 BQQ786446:BQZ786447 CAM786446:CAV786447 CKI786446:CKR786447 CUE786446:CUN786447 DEA786446:DEJ786447 DNW786446:DOF786447 DXS786446:DYB786447 EHO786446:EHX786447 ERK786446:ERT786447 FBG786446:FBP786447 FLC786446:FLL786447 FUY786446:FVH786447 GEU786446:GFD786447 GOQ786446:GOZ786447 GYM786446:GYV786447 HII786446:HIR786447 HSE786446:HSN786447 ICA786446:ICJ786447 ILW786446:IMF786447 IVS786446:IWB786447 JFO786446:JFX786447 JPK786446:JPT786447 JZG786446:JZP786447 KJC786446:KJL786447 KSY786446:KTH786447 LCU786446:LDD786447 LMQ786446:LMZ786447 LWM786446:LWV786447 MGI786446:MGR786447 MQE786446:MQN786447 NAA786446:NAJ786447 NJW786446:NKF786447 NTS786446:NUB786447 ODO786446:ODX786447 ONK786446:ONT786447 OXG786446:OXP786447 PHC786446:PHL786447 PQY786446:PRH786447 QAU786446:QBD786447 QKQ786446:QKZ786447 QUM786446:QUV786447 REI786446:RER786447 ROE786446:RON786447 RYA786446:RYJ786447 SHW786446:SIF786447 SRS786446:SSB786447 TBO786446:TBX786447 TLK786446:TLT786447 TVG786446:TVP786447 UFC786446:UFL786447 UOY786446:UPH786447 UYU786446:UZD786447 VIQ786446:VIZ786447 VSM786446:VSV786447 WCI786446:WCR786447 WME786446:WMN786447 WWA786446:WWJ786447 S851982:AB851983 JO851982:JX851983 TK851982:TT851983 ADG851982:ADP851983 ANC851982:ANL851983 AWY851982:AXH851983 BGU851982:BHD851983 BQQ851982:BQZ851983 CAM851982:CAV851983 CKI851982:CKR851983 CUE851982:CUN851983 DEA851982:DEJ851983 DNW851982:DOF851983 DXS851982:DYB851983 EHO851982:EHX851983 ERK851982:ERT851983 FBG851982:FBP851983 FLC851982:FLL851983 FUY851982:FVH851983 GEU851982:GFD851983 GOQ851982:GOZ851983 GYM851982:GYV851983 HII851982:HIR851983 HSE851982:HSN851983 ICA851982:ICJ851983 ILW851982:IMF851983 IVS851982:IWB851983 JFO851982:JFX851983 JPK851982:JPT851983 JZG851982:JZP851983 KJC851982:KJL851983 KSY851982:KTH851983 LCU851982:LDD851983 LMQ851982:LMZ851983 LWM851982:LWV851983 MGI851982:MGR851983 MQE851982:MQN851983 NAA851982:NAJ851983 NJW851982:NKF851983 NTS851982:NUB851983 ODO851982:ODX851983 ONK851982:ONT851983 OXG851982:OXP851983 PHC851982:PHL851983 PQY851982:PRH851983 QAU851982:QBD851983 QKQ851982:QKZ851983 QUM851982:QUV851983 REI851982:RER851983 ROE851982:RON851983 RYA851982:RYJ851983 SHW851982:SIF851983 SRS851982:SSB851983 TBO851982:TBX851983 TLK851982:TLT851983 TVG851982:TVP851983 UFC851982:UFL851983 UOY851982:UPH851983 UYU851982:UZD851983 VIQ851982:VIZ851983 VSM851982:VSV851983 WCI851982:WCR851983 WME851982:WMN851983 WWA851982:WWJ851983 S917518:AB917519 JO917518:JX917519 TK917518:TT917519 ADG917518:ADP917519 ANC917518:ANL917519 AWY917518:AXH917519 BGU917518:BHD917519 BQQ917518:BQZ917519 CAM917518:CAV917519 CKI917518:CKR917519 CUE917518:CUN917519 DEA917518:DEJ917519 DNW917518:DOF917519 DXS917518:DYB917519 EHO917518:EHX917519 ERK917518:ERT917519 FBG917518:FBP917519 FLC917518:FLL917519 FUY917518:FVH917519 GEU917518:GFD917519 GOQ917518:GOZ917519 GYM917518:GYV917519 HII917518:HIR917519 HSE917518:HSN917519 ICA917518:ICJ917519 ILW917518:IMF917519 IVS917518:IWB917519 JFO917518:JFX917519 JPK917518:JPT917519 JZG917518:JZP917519 KJC917518:KJL917519 KSY917518:KTH917519 LCU917518:LDD917519 LMQ917518:LMZ917519 LWM917518:LWV917519 MGI917518:MGR917519 MQE917518:MQN917519 NAA917518:NAJ917519 NJW917518:NKF917519 NTS917518:NUB917519 ODO917518:ODX917519 ONK917518:ONT917519 OXG917518:OXP917519 PHC917518:PHL917519 PQY917518:PRH917519 QAU917518:QBD917519 QKQ917518:QKZ917519 QUM917518:QUV917519 REI917518:RER917519 ROE917518:RON917519 RYA917518:RYJ917519 SHW917518:SIF917519 SRS917518:SSB917519 TBO917518:TBX917519 TLK917518:TLT917519 TVG917518:TVP917519 UFC917518:UFL917519 UOY917518:UPH917519 UYU917518:UZD917519 VIQ917518:VIZ917519 VSM917518:VSV917519 WCI917518:WCR917519 WME917518:WMN917519 WWA917518:WWJ917519 S983054:AB983055 JO983054:JX983055 TK983054:TT983055 ADG983054:ADP983055 ANC983054:ANL983055 AWY983054:AXH983055 BGU983054:BHD983055 BQQ983054:BQZ983055 CAM983054:CAV983055 CKI983054:CKR983055 CUE983054:CUN983055 DEA983054:DEJ983055 DNW983054:DOF983055 DXS983054:DYB983055 EHO983054:EHX983055 ERK983054:ERT983055 FBG983054:FBP983055 FLC983054:FLL983055 FUY983054:FVH983055 GEU983054:GFD983055 GOQ983054:GOZ983055 GYM983054:GYV983055 HII983054:HIR983055 HSE983054:HSN983055 ICA983054:ICJ983055 ILW983054:IMF983055 IVS983054:IWB983055 JFO983054:JFX983055 JPK983054:JPT983055 JZG983054:JZP983055 KJC983054:KJL983055 KSY983054:KTH983055 LCU983054:LDD983055 LMQ983054:LMZ983055 LWM983054:LWV983055 MGI983054:MGR983055 MQE983054:MQN983055 NAA983054:NAJ983055 NJW983054:NKF983055 NTS983054:NUB983055 ODO983054:ODX983055 ONK983054:ONT983055 OXG983054:OXP983055 PHC983054:PHL983055 PQY983054:PRH983055 QAU983054:QBD983055 QKQ983054:QKZ983055 QUM983054:QUV983055 REI983054:RER983055 ROE983054:RON983055 RYA983054:RYJ983055 SHW983054:SIF983055 SRS983054:SSB983055 TBO983054:TBX983055 TLK983054:TLT983055 TVG983054:TVP983055 UFC983054:UFL983055 UOY983054:UPH983055 UYU983054:UZD983055 VIQ983054:VIZ983055 VSM983054:VSV983055 WCI983054:WCR983055 WME983054:WMN983055 WWA983054:WWJ983055 F983054:O983055 F917518:O917519 F851982:O851983 F786446:O786447 F720910:O720911 F655374:O655375 F589838:O589839 F524302:O524303 F458766:O458767 F393230:O393231 F327694:O327695 F262158:O262159 F196622:O196623 JB10:JK10" xr:uid="{EA66B049-A373-4360-967B-DFCA85346E9D}"/>
  </dataValidations>
  <printOptions horizontalCentered="1"/>
  <pageMargins left="0.4" right="0.4" top="0.5" bottom="0.5" header="0.3" footer="0.3"/>
  <pageSetup paperSize="9" scale="54" orientation="landscape" verticalDpi="300" r:id="rId1"/>
  <rowBreaks count="1" manualBreakCount="1">
    <brk id="65" max="35" man="1"/>
  </rowBreaks>
  <colBreaks count="1" manualBreakCount="1">
    <brk id="36"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ET-1B</vt:lpstr>
      <vt:lpstr>GRADES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dc:creator>
  <cp:keywords/>
  <dc:description/>
  <cp:lastModifiedBy>daniellreyes010@outlook.com</cp:lastModifiedBy>
  <cp:revision/>
  <dcterms:created xsi:type="dcterms:W3CDTF">2025-02-05T03:32:53Z</dcterms:created>
  <dcterms:modified xsi:type="dcterms:W3CDTF">2025-03-25T18:43:29Z</dcterms:modified>
  <cp:category/>
  <cp:contentStatus/>
</cp:coreProperties>
</file>